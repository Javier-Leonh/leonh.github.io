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5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3"/>
    <sheet name="Pain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<sst xmlns="http://schemas.openxmlformats.org/spreadsheetml/2006/main" count="1696" uniqueCount="546">
  <si>
    <t xml:space="preserve">Date</t>
  </si>
  <si>
    <t xml:space="preserve">Project</t>
  </si>
  <si>
    <t xml:space="preserve">Models</t>
  </si>
  <si>
    <t xml:space="preserve">Description</t>
  </si>
  <si>
    <t xml:space="preserve">Faction</t>
  </si>
  <si>
    <t xml:space="preserve">Brand</t>
  </si>
  <si>
    <t xml:space="preserve">Total Painted</t>
  </si>
  <si>
    <t xml:space="preserve">Project List</t>
  </si>
  <si>
    <t xml:space="preserve">Practice</t>
  </si>
  <si>
    <t xml:space="preserve">Grots</t>
  </si>
  <si>
    <t xml:space="preserve">Chaos</t>
  </si>
  <si>
    <t xml:space="preserve">GW</t>
  </si>
  <si>
    <t xml:space="preserve">Brimstone, Blue and Pink Horrors</t>
  </si>
  <si>
    <t xml:space="preserve">Khorne Army</t>
  </si>
  <si>
    <t xml:space="preserve">Kairic Acolytes</t>
  </si>
  <si>
    <t xml:space="preserve">Current Project</t>
  </si>
  <si>
    <t xml:space="preserve">Slaves Army</t>
  </si>
  <si>
    <t xml:space="preserve">Tzaangors</t>
  </si>
  <si>
    <t xml:space="preserve">Belthanos</t>
  </si>
  <si>
    <t xml:space="preserve">Ulthwé Army</t>
  </si>
  <si>
    <t xml:space="preserve">35mm Models</t>
  </si>
  <si>
    <t xml:space="preserve">Assassin</t>
  </si>
  <si>
    <t xml:space="preserve">Dark Elves</t>
  </si>
  <si>
    <t xml:space="preserve">Harlequins Army</t>
  </si>
  <si>
    <t xml:space="preserve">Chaos Familliars</t>
  </si>
  <si>
    <t xml:space="preserve">Most Used Paints</t>
  </si>
  <si>
    <t xml:space="preserve">Lumineth Army</t>
  </si>
  <si>
    <t xml:space="preserve">Bloodletters</t>
  </si>
  <si>
    <t xml:space="preserve">Khorne Bloodbound</t>
  </si>
  <si>
    <t xml:space="preserve">High Elves Army</t>
  </si>
  <si>
    <t xml:space="preserve">Lothern Seaguard</t>
  </si>
  <si>
    <t xml:space="preserve">High Elves</t>
  </si>
  <si>
    <t xml:space="preserve">Bloodreavers</t>
  </si>
  <si>
    <t xml:space="preserve">Tunguska Warband</t>
  </si>
  <si>
    <t xml:space="preserve">Bloodwarriors</t>
  </si>
  <si>
    <t xml:space="preserve">Sylvaneth Army</t>
  </si>
  <si>
    <t xml:space="preserve">Wrathmongers</t>
  </si>
  <si>
    <t xml:space="preserve">Bloodstoker</t>
  </si>
  <si>
    <t xml:space="preserve">Slaughter Priest</t>
  </si>
  <si>
    <t xml:space="preserve">Flesh Hounds</t>
  </si>
  <si>
    <t xml:space="preserve">Bloodsecrator</t>
  </si>
  <si>
    <t xml:space="preserve">Karanak</t>
  </si>
  <si>
    <t xml:space="preserve">Migthy Lord of Khorne</t>
  </si>
  <si>
    <t xml:space="preserve">My Must-Have Paints</t>
  </si>
  <si>
    <t xml:space="preserve">Skullcrushers</t>
  </si>
  <si>
    <t xml:space="preserve">Bright Ivory</t>
  </si>
  <si>
    <t xml:space="preserve">Khorgorath</t>
  </si>
  <si>
    <t xml:space="preserve">Light Flesh</t>
  </si>
  <si>
    <t xml:space="preserve">Black Guardians</t>
  </si>
  <si>
    <t xml:space="preserve">Aldeari</t>
  </si>
  <si>
    <t xml:space="preserve">Laser Yellow</t>
  </si>
  <si>
    <t xml:space="preserve">Bismuth Yellow</t>
  </si>
  <si>
    <t xml:space="preserve">Judgements of Khorne</t>
  </si>
  <si>
    <t xml:space="preserve">Tenebrous Grey</t>
  </si>
  <si>
    <t xml:space="preserve">Windriders</t>
  </si>
  <si>
    <t xml:space="preserve">Skullgrinder</t>
  </si>
  <si>
    <t xml:space="preserve">Exalted Deathbringer</t>
  </si>
  <si>
    <t xml:space="preserve">Wave Serpents</t>
  </si>
  <si>
    <t xml:space="preserve">Rangers</t>
  </si>
  <si>
    <t xml:space="preserve">Fire Dragons</t>
  </si>
  <si>
    <t xml:space="preserve">Howling Banshees</t>
  </si>
  <si>
    <t xml:space="preserve">Warlock Conclave</t>
  </si>
  <si>
    <t xml:space="preserve">Fire Prisms</t>
  </si>
  <si>
    <t xml:space="preserve">Aquiles</t>
  </si>
  <si>
    <t xml:space="preserve">Aleph</t>
  </si>
  <si>
    <t xml:space="preserve">Corvus Belli</t>
  </si>
  <si>
    <t xml:space="preserve">Primaris Space Marine</t>
  </si>
  <si>
    <t xml:space="preserve">White Scars</t>
  </si>
  <si>
    <t xml:space="preserve">Liberator Prime</t>
  </si>
  <si>
    <t xml:space="preserve">Stormcasts Eternals</t>
  </si>
  <si>
    <t xml:space="preserve">Dark Reapers</t>
  </si>
  <si>
    <t xml:space="preserve">Hemlock Wraithfighter</t>
  </si>
  <si>
    <t xml:space="preserve">Plage Marine</t>
  </si>
  <si>
    <t xml:space="preserve">Death Guard</t>
  </si>
  <si>
    <t xml:space="preserve">Mortisan Soulmason</t>
  </si>
  <si>
    <t xml:space="preserve">Ossiarch Boneripers</t>
  </si>
  <si>
    <t xml:space="preserve">Prosecutors</t>
  </si>
  <si>
    <t xml:space="preserve">Chief Librarian Tigurius</t>
  </si>
  <si>
    <t xml:space="preserve">Ultramarines</t>
  </si>
  <si>
    <t xml:space="preserve">Heroes</t>
  </si>
  <si>
    <t xml:space="preserve">Blackstone Fortress</t>
  </si>
  <si>
    <t xml:space="preserve">Chaos Marines</t>
  </si>
  <si>
    <t xml:space="preserve">Fungoid Cave Shaman</t>
  </si>
  <si>
    <t xml:space="preserve">Gloomspite Gitz</t>
  </si>
  <si>
    <t xml:space="preserve">Battle Sisters</t>
  </si>
  <si>
    <t xml:space="preserve">Adepta Sororitas</t>
  </si>
  <si>
    <t xml:space="preserve">Repentias</t>
  </si>
  <si>
    <t xml:space="preserve">Penitent Engines</t>
  </si>
  <si>
    <t xml:space="preserve">Canoness</t>
  </si>
  <si>
    <t xml:space="preserve">8-Ball Greenskin Oni</t>
  </si>
  <si>
    <t xml:space="preserve">Aristeia!</t>
  </si>
  <si>
    <t xml:space="preserve">Level up Tau Army</t>
  </si>
  <si>
    <t xml:space="preserve">T'au</t>
  </si>
  <si>
    <t xml:space="preserve">Ambull</t>
  </si>
  <si>
    <t xml:space="preserve">Renegade Guardsmen</t>
  </si>
  <si>
    <t xml:space="preserve">Exorcist</t>
  </si>
  <si>
    <t xml:space="preserve">Spiritseer</t>
  </si>
  <si>
    <t xml:space="preserve">Autarch</t>
  </si>
  <si>
    <t xml:space="preserve">Eisenhorn and Daemon</t>
  </si>
  <si>
    <t xml:space="preserve">Imperium</t>
  </si>
  <si>
    <t xml:space="preserve">Autarch Skyrunner</t>
  </si>
  <si>
    <t xml:space="preserve">Space Marine Terminator</t>
  </si>
  <si>
    <t xml:space="preserve">Terminator Captain</t>
  </si>
  <si>
    <t xml:space="preserve">Terminator Librarian</t>
  </si>
  <si>
    <t xml:space="preserve">Terminator Chaplain</t>
  </si>
  <si>
    <t xml:space="preserve">Roboute Guilliman</t>
  </si>
  <si>
    <t xml:space="preserve">Garrek's Reavers</t>
  </si>
  <si>
    <t xml:space="preserve">Kayvaan Shrike</t>
  </si>
  <si>
    <t xml:space="preserve">Raven Guard</t>
  </si>
  <si>
    <t xml:space="preserve">Inquisitor Karamazov</t>
  </si>
  <si>
    <t xml:space="preserve">Inquisitor Greyfax</t>
  </si>
  <si>
    <t xml:space="preserve">Seraphims</t>
  </si>
  <si>
    <t xml:space="preserve">Lothern Seahelm</t>
  </si>
  <si>
    <t xml:space="preserve">Amalia Novena</t>
  </si>
  <si>
    <t xml:space="preserve">Primaris Intercessors</t>
  </si>
  <si>
    <t xml:space="preserve">Blood Angels</t>
  </si>
  <si>
    <t xml:space="preserve">Tech-Priest</t>
  </si>
  <si>
    <t xml:space="preserve">Adeptus Mechanicus</t>
  </si>
  <si>
    <t xml:space="preserve">Sydonian Dragoon</t>
  </si>
  <si>
    <t xml:space="preserve">Tech-Priest Dominus</t>
  </si>
  <si>
    <t xml:space="preserve">Belisarius Cawl</t>
  </si>
  <si>
    <t xml:space="preserve">Chaos Warriors</t>
  </si>
  <si>
    <t xml:space="preserve">Slaves to Darkness</t>
  </si>
  <si>
    <t xml:space="preserve">Katakros Mortach of the Necropolis</t>
  </si>
  <si>
    <t xml:space="preserve">Ephrael Stern and Kyganil</t>
  </si>
  <si>
    <t xml:space="preserve">Marneus Calgar</t>
  </si>
  <si>
    <t xml:space="preserve">Primaris Apothecary</t>
  </si>
  <si>
    <t xml:space="preserve">Terminator Apothecary</t>
  </si>
  <si>
    <t xml:space="preserve">Primaris Captain</t>
  </si>
  <si>
    <t xml:space="preserve">Primaris Librarian</t>
  </si>
  <si>
    <t xml:space="preserve">Serberys Raiders</t>
  </si>
  <si>
    <t xml:space="preserve">Serberys Sulphurhounds</t>
  </si>
  <si>
    <t xml:space="preserve">Skorpius Desintegrator</t>
  </si>
  <si>
    <t xml:space="preserve">Skorpius Dunerider</t>
  </si>
  <si>
    <t xml:space="preserve">Archaeopter Fusilave</t>
  </si>
  <si>
    <t xml:space="preserve">Archaeopter Transvector</t>
  </si>
  <si>
    <t xml:space="preserve">Pteraxii Sterylizors</t>
  </si>
  <si>
    <t xml:space="preserve">Pteraxii Skystalkers</t>
  </si>
  <si>
    <t xml:space="preserve">Tech-Priest Manipulus</t>
  </si>
  <si>
    <t xml:space="preserve">Arthas (Abaddon Conversion)</t>
  </si>
  <si>
    <t xml:space="preserve">Chaos Space Marines</t>
  </si>
  <si>
    <t xml:space="preserve">Knight Questor</t>
  </si>
  <si>
    <t xml:space="preserve">Lord Inquisitor Kyria Draxus</t>
  </si>
  <si>
    <t xml:space="preserve">Gryevh Leonhart, Chrace Hero</t>
  </si>
  <si>
    <t xml:space="preserve">Soulfinder (Illic Conversion</t>
  </si>
  <si>
    <t xml:space="preserve">Skullreapers</t>
  </si>
  <si>
    <t xml:space="preserve">Neave Blacktalon</t>
  </si>
  <si>
    <t xml:space="preserve">Spektr</t>
  </si>
  <si>
    <t xml:space="preserve">Nomads</t>
  </si>
  <si>
    <t xml:space="preserve">Grenzer</t>
  </si>
  <si>
    <t xml:space="preserve">Hollow Man</t>
  </si>
  <si>
    <t xml:space="preserve">Securitate</t>
  </si>
  <si>
    <t xml:space="preserve">Heckler</t>
  </si>
  <si>
    <t xml:space="preserve">Kriza Borac</t>
  </si>
  <si>
    <t xml:space="preserve">Chaos Sorcerer Lord</t>
  </si>
  <si>
    <t xml:space="preserve">Chaos Knight</t>
  </si>
  <si>
    <t xml:space="preserve">Vanari Auralan Wardens</t>
  </si>
  <si>
    <t xml:space="preserve">Lumineth Realm-Lords</t>
  </si>
  <si>
    <t xml:space="preserve">Lady of the Lake</t>
  </si>
  <si>
    <t xml:space="preserve">Echoes of Camelot</t>
  </si>
  <si>
    <t xml:space="preserve">Big Child</t>
  </si>
  <si>
    <t xml:space="preserve">Merlin</t>
  </si>
  <si>
    <t xml:space="preserve">Morgana le Fay</t>
  </si>
  <si>
    <t xml:space="preserve">Farseer Skyrunner</t>
  </si>
  <si>
    <t xml:space="preserve">Troupe Player</t>
  </si>
  <si>
    <t xml:space="preserve">Troupe Master</t>
  </si>
  <si>
    <t xml:space="preserve">Shadowseer</t>
  </si>
  <si>
    <t xml:space="preserve">Death Jester</t>
  </si>
  <si>
    <t xml:space="preserve">Royal Guard</t>
  </si>
  <si>
    <t xml:space="preserve">Necros</t>
  </si>
  <si>
    <t xml:space="preserve">Primaris Lieutenant</t>
  </si>
  <si>
    <t xml:space="preserve">Primaris Assault Intercessors</t>
  </si>
  <si>
    <t xml:space="preserve">Sons of the Phoenix</t>
  </si>
  <si>
    <t xml:space="preserve">Ynnari Storm Guardians</t>
  </si>
  <si>
    <t xml:space="preserve">Winged Autarch</t>
  </si>
  <si>
    <t xml:space="preserve">Nagarythe Princess</t>
  </si>
  <si>
    <t xml:space="preserve">Last Sword</t>
  </si>
  <si>
    <t xml:space="preserve">Vanary Bladelord</t>
  </si>
  <si>
    <t xml:space="preserve">Kurnoth Hunters</t>
  </si>
  <si>
    <t xml:space="preserve">Sylvaneth</t>
  </si>
  <si>
    <t xml:space="preserve">Revenant Seekers</t>
  </si>
  <si>
    <t xml:space="preserve">Tree-Revenants</t>
  </si>
  <si>
    <t xml:space="preserve">Arch-Revenant</t>
  </si>
  <si>
    <t xml:space="preserve">Ynnari Warlock</t>
  </si>
  <si>
    <t xml:space="preserve">Gossamid Archers</t>
  </si>
  <si>
    <t xml:space="preserve">Chracian Archer</t>
  </si>
  <si>
    <t xml:space="preserve">Chracian Spearmen</t>
  </si>
  <si>
    <t xml:space="preserve">Awakened Wyldwood</t>
  </si>
  <si>
    <t xml:space="preserve">Manifestations of the Deepwood</t>
  </si>
  <si>
    <t xml:space="preserve">Farseer</t>
  </si>
  <si>
    <t xml:space="preserve">Warsong Revenant</t>
  </si>
  <si>
    <t xml:space="preserve">Paint</t>
  </si>
  <si>
    <t xml:space="preserve">Series</t>
  </si>
  <si>
    <t xml:space="preserve">Total Used</t>
  </si>
  <si>
    <t xml:space="preserve">Ulthwé</t>
  </si>
  <si>
    <t xml:space="preserve">Details U</t>
  </si>
  <si>
    <t xml:space="preserve">Ynnari</t>
  </si>
  <si>
    <t xml:space="preserve">Details Y</t>
  </si>
  <si>
    <t xml:space="preserve">Harlequins</t>
  </si>
  <si>
    <t xml:space="preserve">Details H</t>
  </si>
  <si>
    <t xml:space="preserve">Details S</t>
  </si>
  <si>
    <t xml:space="preserve">Lumineth</t>
  </si>
  <si>
    <t xml:space="preserve">Details L</t>
  </si>
  <si>
    <t xml:space="preserve">Details H2</t>
  </si>
  <si>
    <t xml:space="preserve">Afro Shadow</t>
  </si>
  <si>
    <t xml:space="preserve">AK</t>
  </si>
  <si>
    <t xml:space="preserve">Color Punch</t>
  </si>
  <si>
    <t xml:space="preserve">NMM Shadow</t>
  </si>
  <si>
    <t xml:space="preserve">NMM Gold</t>
  </si>
  <si>
    <t xml:space="preserve">Whole Wood</t>
  </si>
  <si>
    <t xml:space="preserve">Anthracite Grey</t>
  </si>
  <si>
    <t xml:space="preserve">3rd Gen</t>
  </si>
  <si>
    <t xml:space="preserve">Dragonfly</t>
  </si>
  <si>
    <t xml:space="preserve">Up NMM</t>
  </si>
  <si>
    <t xml:space="preserve">Gems</t>
  </si>
  <si>
    <t xml:space="preserve">Aquatic Turquoise</t>
  </si>
  <si>
    <t xml:space="preserve">Leaves</t>
  </si>
  <si>
    <t xml:space="preserve">Black Red</t>
  </si>
  <si>
    <t xml:space="preserve">Green NMM</t>
  </si>
  <si>
    <t xml:space="preserve">Lizard Whole</t>
  </si>
  <si>
    <t xml:space="preserve">British Khaki</t>
  </si>
  <si>
    <t xml:space="preserve">Gold</t>
  </si>
  <si>
    <t xml:space="preserve">Deep Purple</t>
  </si>
  <si>
    <t xml:space="preserve">Deep Violet</t>
  </si>
  <si>
    <t xml:space="preserve">Dragon Blood</t>
  </si>
  <si>
    <t xml:space="preserve">Reds</t>
  </si>
  <si>
    <t xml:space="preserve">Armour</t>
  </si>
  <si>
    <t xml:space="preserve">French Blue</t>
  </si>
  <si>
    <t xml:space="preserve">NMM Silver</t>
  </si>
  <si>
    <t xml:space="preserve">Golden Olive</t>
  </si>
  <si>
    <t xml:space="preserve">Golden Yellow</t>
  </si>
  <si>
    <t xml:space="preserve">Gold NMM</t>
  </si>
  <si>
    <t xml:space="preserve">Graphite</t>
  </si>
  <si>
    <t xml:space="preserve">Up clothes</t>
  </si>
  <si>
    <t xml:space="preserve">Grimy Grey</t>
  </si>
  <si>
    <t xml:space="preserve">Bone</t>
  </si>
  <si>
    <t xml:space="preserve">Wood</t>
  </si>
  <si>
    <t xml:space="preserve">Hull Red</t>
  </si>
  <si>
    <t xml:space="preserve">Japanese Brown</t>
  </si>
  <si>
    <t xml:space="preserve">Must</t>
  </si>
  <si>
    <t xml:space="preserve">Lilac</t>
  </si>
  <si>
    <t xml:space="preserve">Luminous Flesh</t>
  </si>
  <si>
    <t xml:space="preserve">Skin</t>
  </si>
  <si>
    <t xml:space="preserve">Luminous Green</t>
  </si>
  <si>
    <t xml:space="preserve">Luminous Orange</t>
  </si>
  <si>
    <t xml:space="preserve">Energy</t>
  </si>
  <si>
    <t xml:space="preserve">Pistachio </t>
  </si>
  <si>
    <t xml:space="preserve">Purple</t>
  </si>
  <si>
    <t xml:space="preserve">Purulent Yellow</t>
  </si>
  <si>
    <t xml:space="preserve">Reddish Grey</t>
  </si>
  <si>
    <t xml:space="preserve">Clothes</t>
  </si>
  <si>
    <t xml:space="preserve">Sahara Yellow</t>
  </si>
  <si>
    <t xml:space="preserve">Sand Yellow</t>
  </si>
  <si>
    <t xml:space="preserve">Silver Grey</t>
  </si>
  <si>
    <t xml:space="preserve">Up Tenebrous</t>
  </si>
  <si>
    <t xml:space="preserve">White NMMM</t>
  </si>
  <si>
    <t xml:space="preserve">Violed Red</t>
  </si>
  <si>
    <t xml:space="preserve">Up Dragon Blood</t>
  </si>
  <si>
    <t xml:space="preserve">Volcanic Yellow</t>
  </si>
  <si>
    <t xml:space="preserve">Wine Red</t>
  </si>
  <si>
    <t xml:space="preserve">Leaves (up Yellow)</t>
  </si>
  <si>
    <t xml:space="preserve">Basilisk Red</t>
  </si>
  <si>
    <t xml:space="preserve">Army Painter</t>
  </si>
  <si>
    <t xml:space="preserve">Warpaints</t>
  </si>
  <si>
    <t xml:space="preserve">Details</t>
  </si>
  <si>
    <t xml:space="preserve">Blood Chalice</t>
  </si>
  <si>
    <t xml:space="preserve">Carnelian Skin</t>
  </si>
  <si>
    <t xml:space="preserve">Doomfire Drab</t>
  </si>
  <si>
    <t xml:space="preserve">Lights</t>
  </si>
  <si>
    <t xml:space="preserve">Dragon Red</t>
  </si>
  <si>
    <t xml:space="preserve">Elder Flower</t>
  </si>
  <si>
    <t xml:space="preserve">Figgy Pink</t>
  </si>
  <si>
    <t xml:space="preserve">Forbidden Fruit</t>
  </si>
  <si>
    <t xml:space="preserve">Hexed Violet</t>
  </si>
  <si>
    <t xml:space="preserve">Up</t>
  </si>
  <si>
    <t xml:space="preserve">Jasper Skin</t>
  </si>
  <si>
    <t xml:space="preserve">Kraken Lavender</t>
  </si>
  <si>
    <t xml:space="preserve">Leopard Stone Skin</t>
  </si>
  <si>
    <t xml:space="preserve">Mocca Skin</t>
  </si>
  <si>
    <t xml:space="preserve">White Wood</t>
  </si>
  <si>
    <t xml:space="preserve">Moldy Wine</t>
  </si>
  <si>
    <t xml:space="preserve">Mulled Berry</t>
  </si>
  <si>
    <t xml:space="preserve">Onyx Skin</t>
  </si>
  <si>
    <t xml:space="preserve">Pure Red</t>
  </si>
  <si>
    <t xml:space="preserve">Raging Rose</t>
  </si>
  <si>
    <t xml:space="preserve">Tiger’s Eye Skin</t>
  </si>
  <si>
    <t xml:space="preserve">Topaz Skin</t>
  </si>
  <si>
    <t xml:space="preserve">Tourmaline Skin</t>
  </si>
  <si>
    <t xml:space="preserve">Weird Elixir</t>
  </si>
  <si>
    <t xml:space="preserve">Wilted Rose</t>
  </si>
  <si>
    <t xml:space="preserve">Wyvern Fury</t>
  </si>
  <si>
    <t xml:space="preserve">Abaddon Black</t>
  </si>
  <si>
    <t xml:space="preserve">Citadel</t>
  </si>
  <si>
    <t xml:space="preserve">Base</t>
  </si>
  <si>
    <t xml:space="preserve">Administratum Grey</t>
  </si>
  <si>
    <t xml:space="preserve">Layer</t>
  </si>
  <si>
    <t xml:space="preserve">Aethermatic Blue</t>
  </si>
  <si>
    <t xml:space="preserve">Contrast</t>
  </si>
  <si>
    <t xml:space="preserve">Agrax Earthshade</t>
  </si>
  <si>
    <t xml:space="preserve">Shade</t>
  </si>
  <si>
    <t xml:space="preserve">Aldeari Emerald</t>
  </si>
  <si>
    <t xml:space="preserve">Apothecary White</t>
  </si>
  <si>
    <t xml:space="preserve">Averland Sunset</t>
  </si>
  <si>
    <t xml:space="preserve">Baharroth Blue</t>
  </si>
  <si>
    <t xml:space="preserve">Balor Brown</t>
  </si>
  <si>
    <t xml:space="preserve">Barak-Nar Burgundy</t>
  </si>
  <si>
    <t xml:space="preserve">Lizard Skin</t>
  </si>
  <si>
    <t xml:space="preserve">Black Templar</t>
  </si>
  <si>
    <t xml:space="preserve">Shadow Tenebrous</t>
  </si>
  <si>
    <t xml:space="preserve">Bugman's Glow</t>
  </si>
  <si>
    <t xml:space="preserve">Carroburg Crimson</t>
  </si>
  <si>
    <t xml:space="preserve">Celestra Grey</t>
  </si>
  <si>
    <t xml:space="preserve">Corax White</t>
  </si>
  <si>
    <t xml:space="preserve">Corvus Black</t>
  </si>
  <si>
    <t xml:space="preserve">Cygor Brown</t>
  </si>
  <si>
    <t xml:space="preserve">Leather Shadow</t>
  </si>
  <si>
    <t xml:space="preserve">Leather</t>
  </si>
  <si>
    <t xml:space="preserve">Daemonette Hide</t>
  </si>
  <si>
    <t xml:space="preserve">Hair</t>
  </si>
  <si>
    <t xml:space="preserve">Dark Reaper</t>
  </si>
  <si>
    <t xml:space="preserve">Dawnstone</t>
  </si>
  <si>
    <t xml:space="preserve">Dorn Yellow</t>
  </si>
  <si>
    <t xml:space="preserve">Drakenhof Nightshade</t>
  </si>
  <si>
    <t xml:space="preserve">Druchii Violet</t>
  </si>
  <si>
    <t xml:space="preserve">Emperor's Children</t>
  </si>
  <si>
    <t xml:space="preserve">Evil Sunz Scarlet</t>
  </si>
  <si>
    <t xml:space="preserve">Fenrisian Grey</t>
  </si>
  <si>
    <t xml:space="preserve">Fire Dragon Bright</t>
  </si>
  <si>
    <t xml:space="preserve">Flash Gitz Yellow</t>
  </si>
  <si>
    <t xml:space="preserve">Gal Vorbak Red</t>
  </si>
  <si>
    <t xml:space="preserve">Gore-Grunta Fur</t>
  </si>
  <si>
    <t xml:space="preserve">Grey Seer</t>
  </si>
  <si>
    <t xml:space="preserve">Gryph-Charger Grey</t>
  </si>
  <si>
    <t xml:space="preserve">Gryph-Hound Orange</t>
  </si>
  <si>
    <t xml:space="preserve">Incubi Darkness</t>
  </si>
  <si>
    <t xml:space="preserve">Iyanden Yellow</t>
  </si>
  <si>
    <t xml:space="preserve">Jokaero Orange</t>
  </si>
  <si>
    <t xml:space="preserve">Kabalite Green</t>
  </si>
  <si>
    <t xml:space="preserve">Kakophoni Purple</t>
  </si>
  <si>
    <t xml:space="preserve">Khorne Red</t>
  </si>
  <si>
    <t xml:space="preserve">Macragge Blue</t>
  </si>
  <si>
    <t xml:space="preserve">Mephiston Red</t>
  </si>
  <si>
    <t xml:space="preserve">Moot Green</t>
  </si>
  <si>
    <t xml:space="preserve">Morghast Bone</t>
  </si>
  <si>
    <t xml:space="preserve">Mournfang Brown</t>
  </si>
  <si>
    <t xml:space="preserve">Nazdreg Yellow</t>
  </si>
  <si>
    <t xml:space="preserve">Phalanx Yellow</t>
  </si>
  <si>
    <t xml:space="preserve">Phoenician Purple</t>
  </si>
  <si>
    <t xml:space="preserve">Pink Horror</t>
  </si>
  <si>
    <t xml:space="preserve">Rakarth Flesh</t>
  </si>
  <si>
    <t xml:space="preserve">Ratling Grime</t>
  </si>
  <si>
    <t xml:space="preserve">Reikland Fleshshade</t>
  </si>
  <si>
    <t xml:space="preserve">Rhinox Hide</t>
  </si>
  <si>
    <t xml:space="preserve">Screamer Pink</t>
  </si>
  <si>
    <t xml:space="preserve">Skeleton Horde</t>
  </si>
  <si>
    <t xml:space="preserve">Snakebite Leather</t>
  </si>
  <si>
    <t xml:space="preserve">Squig Orange</t>
  </si>
  <si>
    <t xml:space="preserve">Steel Legion Drab</t>
  </si>
  <si>
    <t xml:space="preserve">Sybarite Green</t>
  </si>
  <si>
    <t xml:space="preserve">Temple Guard Blue</t>
  </si>
  <si>
    <t xml:space="preserve">The Fang</t>
  </si>
  <si>
    <t xml:space="preserve">Thousand Sons blue</t>
  </si>
  <si>
    <t xml:space="preserve">Thunderhawk Blue</t>
  </si>
  <si>
    <t xml:space="preserve">Trollslayer Orange</t>
  </si>
  <si>
    <t xml:space="preserve">Ulthuan Grey</t>
  </si>
  <si>
    <t xml:space="preserve">Ushabti Bone</t>
  </si>
  <si>
    <t xml:space="preserve">Volupus Pink</t>
  </si>
  <si>
    <t xml:space="preserve">Wild Rider Red</t>
  </si>
  <si>
    <t xml:space="preserve">Wraithbone</t>
  </si>
  <si>
    <t xml:space="preserve">XV-88</t>
  </si>
  <si>
    <t xml:space="preserve">Yriel Yellow</t>
  </si>
  <si>
    <t xml:space="preserve">Zandri Dust</t>
  </si>
  <si>
    <t xml:space="preserve">Alizarin Crimson</t>
  </si>
  <si>
    <t xml:space="preserve">Kimera</t>
  </si>
  <si>
    <t xml:space="preserve">Exp. Pack</t>
  </si>
  <si>
    <t xml:space="preserve">Carbon Black</t>
  </si>
  <si>
    <t xml:space="preserve">Start Pack</t>
  </si>
  <si>
    <t xml:space="preserve">Cartacci Red</t>
  </si>
  <si>
    <t xml:space="preserve">Danilo Cartacci</t>
  </si>
  <si>
    <t xml:space="preserve">Caucasian Skintone</t>
  </si>
  <si>
    <t xml:space="preserve">Cloud Sky</t>
  </si>
  <si>
    <t xml:space="preserve">Michal Pisarski</t>
  </si>
  <si>
    <t xml:space="preserve">Cobalt Bluegreen</t>
  </si>
  <si>
    <t xml:space="preserve">Base Energy</t>
  </si>
  <si>
    <t xml:space="preserve">Cold Yellow</t>
  </si>
  <si>
    <t xml:space="preserve">Dark Ochre</t>
  </si>
  <si>
    <t xml:space="preserve">Diarylide Yellow</t>
  </si>
  <si>
    <t xml:space="preserve">Fallen Grass</t>
  </si>
  <si>
    <t xml:space="preserve">Golden Brown</t>
  </si>
  <si>
    <t xml:space="preserve">Ground Brown</t>
  </si>
  <si>
    <t xml:space="preserve">Honey Moon Yellow</t>
  </si>
  <si>
    <t xml:space="preserve">Iron Hue</t>
  </si>
  <si>
    <t xml:space="preserve">Kiwi Brown</t>
  </si>
  <si>
    <t xml:space="preserve">Magenta</t>
  </si>
  <si>
    <t xml:space="preserve">Base Mix</t>
  </si>
  <si>
    <t xml:space="preserve">Mars Orange</t>
  </si>
  <si>
    <t xml:space="preserve">Morning Sky</t>
  </si>
  <si>
    <t xml:space="preserve">Orange</t>
  </si>
  <si>
    <t xml:space="preserve">Oxide Brown Dark</t>
  </si>
  <si>
    <t xml:space="preserve">Oxide Brown Light</t>
  </si>
  <si>
    <t xml:space="preserve">Oxide Brown Medium</t>
  </si>
  <si>
    <t xml:space="preserve">Oxide Green</t>
  </si>
  <si>
    <t xml:space="preserve">Phthalo Blue G.</t>
  </si>
  <si>
    <t xml:space="preserve">Phthalo Blue R.</t>
  </si>
  <si>
    <t xml:space="preserve">Phthalo Green</t>
  </si>
  <si>
    <t xml:space="preserve">Red</t>
  </si>
  <si>
    <t xml:space="preserve">Red Oxide</t>
  </si>
  <si>
    <t xml:space="preserve">Royal Brown</t>
  </si>
  <si>
    <t xml:space="preserve">Samurai Green</t>
  </si>
  <si>
    <t xml:space="preserve">Sun Ray</t>
  </si>
  <si>
    <t xml:space="preserve">Titanium White</t>
  </si>
  <si>
    <t xml:space="preserve">Toluidine Red</t>
  </si>
  <si>
    <t xml:space="preserve">Ultramarine Blue</t>
  </si>
  <si>
    <t xml:space="preserve">Violet</t>
  </si>
  <si>
    <t xml:space="preserve">Warm Yellow</t>
  </si>
  <si>
    <t xml:space="preserve">Yellow Oxide</t>
  </si>
  <si>
    <t xml:space="preserve">Liquitex</t>
  </si>
  <si>
    <t xml:space="preserve">ink</t>
  </si>
  <si>
    <t xml:space="preserve">Muted Green</t>
  </si>
  <si>
    <t xml:space="preserve">Ink</t>
  </si>
  <si>
    <t xml:space="preserve">Muted Grey</t>
  </si>
  <si>
    <t xml:space="preserve">Muted Pink</t>
  </si>
  <si>
    <t xml:space="preserve">Muted Turquoise</t>
  </si>
  <si>
    <t xml:space="preserve">Muted Violed</t>
  </si>
  <si>
    <t xml:space="preserve">Hue Dragon</t>
  </si>
  <si>
    <t xml:space="preserve">Naphthol Crimson</t>
  </si>
  <si>
    <t xml:space="preserve">Phthalocyanine Blue (g)</t>
  </si>
  <si>
    <t xml:space="preserve">Transparent Raw Umber</t>
  </si>
  <si>
    <t xml:space="preserve">Vivid Lime Green</t>
  </si>
  <si>
    <t xml:space="preserve">Fey</t>
  </si>
  <si>
    <t xml:space="preserve">Yellow Medium Azo</t>
  </si>
  <si>
    <t xml:space="preserve">Asphalt </t>
  </si>
  <si>
    <t xml:space="preserve">Nocturna</t>
  </si>
  <si>
    <t xml:space="preserve">Brown Beast</t>
  </si>
  <si>
    <t xml:space="preserve">Deep Scarlet</t>
  </si>
  <si>
    <t xml:space="preserve">Fiery Red</t>
  </si>
  <si>
    <t xml:space="preserve">Midnight</t>
  </si>
  <si>
    <t xml:space="preserve">Olive</t>
  </si>
  <si>
    <t xml:space="preserve">Turquoise</t>
  </si>
  <si>
    <t xml:space="preserve">Umber</t>
  </si>
  <si>
    <t xml:space="preserve">Pro Acryl</t>
  </si>
  <si>
    <t xml:space="preserve">Rogue Hobby</t>
  </si>
  <si>
    <t xml:space="preserve">Bold Pyrrole Red</t>
  </si>
  <si>
    <t xml:space="preserve">Standard</t>
  </si>
  <si>
    <t xml:space="preserve">Bold Titanium White</t>
  </si>
  <si>
    <t xml:space="preserve">NMM / W. Wood</t>
  </si>
  <si>
    <t xml:space="preserve">Bright Green</t>
  </si>
  <si>
    <t xml:space="preserve">Bright Yellow Ochre</t>
  </si>
  <si>
    <t xml:space="preserve">Flameon</t>
  </si>
  <si>
    <t xml:space="preserve">Dark Hot Pink</t>
  </si>
  <si>
    <t xml:space="preserve">Dark Plum</t>
  </si>
  <si>
    <t xml:space="preserve">Ninjon</t>
  </si>
  <si>
    <t xml:space="preserve">Purple clothes</t>
  </si>
  <si>
    <t xml:space="preserve">Gladewyrm</t>
  </si>
  <si>
    <t xml:space="preserve">Dark Turquoise</t>
  </si>
  <si>
    <t xml:space="preserve">Gems weapons</t>
  </si>
  <si>
    <t xml:space="preserve">Gems Main</t>
  </si>
  <si>
    <t xml:space="preserve">Drab Brown</t>
  </si>
  <si>
    <t xml:space="preserve">Adepticon</t>
  </si>
  <si>
    <t xml:space="preserve">Ivory</t>
  </si>
  <si>
    <t xml:space="preserve">Orange Red</t>
  </si>
  <si>
    <t xml:space="preserve">Red Grey</t>
  </si>
  <si>
    <t xml:space="preserve">Hair /  Leather</t>
  </si>
  <si>
    <t xml:space="preserve">Ultramarine</t>
  </si>
  <si>
    <t xml:space="preserve">White Gold</t>
  </si>
  <si>
    <t xml:space="preserve">Metallic</t>
  </si>
  <si>
    <t xml:space="preserve">Armor</t>
  </si>
  <si>
    <t xml:space="preserve">Black</t>
  </si>
  <si>
    <t xml:space="preserve">Scale 75</t>
  </si>
  <si>
    <t xml:space="preserve">Chesnut</t>
  </si>
  <si>
    <t xml:space="preserve">Aluminium</t>
  </si>
  <si>
    <t xml:space="preserve">Vallejo</t>
  </si>
  <si>
    <t xml:space="preserve">Model Air (old)</t>
  </si>
  <si>
    <t xml:space="preserve">Barbarian Skin</t>
  </si>
  <si>
    <t xml:space="preserve">Game</t>
  </si>
  <si>
    <t xml:space="preserve">Basalt Grey</t>
  </si>
  <si>
    <t xml:space="preserve">Model (old)</t>
  </si>
  <si>
    <t xml:space="preserve">Beige Red</t>
  </si>
  <si>
    <t xml:space="preserve">Lizard Scales</t>
  </si>
  <si>
    <t xml:space="preserve">Black Wash</t>
  </si>
  <si>
    <t xml:space="preserve">Blue Green</t>
  </si>
  <si>
    <t xml:space="preserve">Bronze Brown</t>
  </si>
  <si>
    <t xml:space="preserve">Brown Rose</t>
  </si>
  <si>
    <t xml:space="preserve">Burnt Red</t>
  </si>
  <si>
    <t xml:space="preserve">Cloth / Leather</t>
  </si>
  <si>
    <t xml:space="preserve">Lizard / NMM Gold</t>
  </si>
  <si>
    <t xml:space="preserve">Charred Brown</t>
  </si>
  <si>
    <t xml:space="preserve">Chocolate Brown</t>
  </si>
  <si>
    <t xml:space="preserve">Dark Blue Grey</t>
  </si>
  <si>
    <t xml:space="preserve">Dark Sea Blue</t>
  </si>
  <si>
    <t xml:space="preserve">Death White</t>
  </si>
  <si>
    <t xml:space="preserve">Game (old)</t>
  </si>
  <si>
    <t xml:space="preserve">Deck Tan</t>
  </si>
  <si>
    <t xml:space="preserve">Deep Magenta</t>
  </si>
  <si>
    <t xml:space="preserve">Xpress</t>
  </si>
  <si>
    <t xml:space="preserve">Skin / Leaves / Gems</t>
  </si>
  <si>
    <t xml:space="preserve">Elfic Flesh</t>
  </si>
  <si>
    <t xml:space="preserve">Emerald</t>
  </si>
  <si>
    <t xml:space="preserve">Wings</t>
  </si>
  <si>
    <t xml:space="preserve">Evil Red</t>
  </si>
  <si>
    <t xml:space="preserve">Ger. C. Beige WWII</t>
  </si>
  <si>
    <t xml:space="preserve">Ghost Green</t>
  </si>
  <si>
    <t xml:space="preserve">Ghost Grey</t>
  </si>
  <si>
    <t xml:space="preserve">Metal Color</t>
  </si>
  <si>
    <t xml:space="preserve">Gold Yellow</t>
  </si>
  <si>
    <t xml:space="preserve">Gorgon Brown</t>
  </si>
  <si>
    <t xml:space="preserve">Green Grey</t>
  </si>
  <si>
    <t xml:space="preserve">Grunge Brown</t>
  </si>
  <si>
    <t xml:space="preserve">Heavy Bluegrey</t>
  </si>
  <si>
    <t xml:space="preserve">Extra Opaque</t>
  </si>
  <si>
    <t xml:space="preserve">Heavy Charcoal</t>
  </si>
  <si>
    <t xml:space="preserve">Heavy Goldbrown</t>
  </si>
  <si>
    <t xml:space="preserve">Heavy Grey</t>
  </si>
  <si>
    <t xml:space="preserve">Heavy Ochre</t>
  </si>
  <si>
    <t xml:space="preserve">Heavy Siena</t>
  </si>
  <si>
    <t xml:space="preserve">Under gold</t>
  </si>
  <si>
    <t xml:space="preserve">Heavy Warmgrey</t>
  </si>
  <si>
    <t xml:space="preserve">Up Skin</t>
  </si>
  <si>
    <t xml:space="preserve">Hospitallier Black</t>
  </si>
  <si>
    <t xml:space="preserve">Tenebrous</t>
  </si>
  <si>
    <t xml:space="preserve">Ice Yellow</t>
  </si>
  <si>
    <t xml:space="preserve">Jade Green</t>
  </si>
  <si>
    <t xml:space="preserve">Khaki</t>
  </si>
  <si>
    <t xml:space="preserve">Luftwafe Unif. WWII</t>
  </si>
  <si>
    <t xml:space="preserve">Middlestone</t>
  </si>
  <si>
    <t xml:space="preserve">Midnight Purple</t>
  </si>
  <si>
    <t xml:space="preserve">Mummy White</t>
  </si>
  <si>
    <t xml:space="preserve">Hue Bone</t>
  </si>
  <si>
    <t xml:space="preserve">Nocturnal Red</t>
  </si>
  <si>
    <t xml:space="preserve">Pale Grey Blue</t>
  </si>
  <si>
    <t xml:space="preserve">Park Green</t>
  </si>
  <si>
    <t xml:space="preserve">Prussian Blue</t>
  </si>
  <si>
    <t xml:space="preserve">Scarlet Red</t>
  </si>
  <si>
    <t xml:space="preserve">Scorpena Green</t>
  </si>
  <si>
    <t xml:space="preserve">Scrofulous Brown</t>
  </si>
  <si>
    <t xml:space="preserve">Silver</t>
  </si>
  <si>
    <t xml:space="preserve">Smoke</t>
  </si>
  <si>
    <t xml:space="preserve">Stone Grey</t>
  </si>
  <si>
    <t xml:space="preserve">Succubus Skin</t>
  </si>
  <si>
    <t xml:space="preserve">Sunny Skin tone</t>
  </si>
  <si>
    <t xml:space="preserve">Sunset Red</t>
  </si>
  <si>
    <t xml:space="preserve">Toxic Yellow</t>
  </si>
  <si>
    <t xml:space="preserve">Twilight Rose</t>
  </si>
  <si>
    <t xml:space="preserve">Vampiric Purple</t>
  </si>
  <si>
    <t xml:space="preserve">Warlock Purple</t>
  </si>
  <si>
    <t xml:space="preserve">Wicked Purple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</si>
</sst>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m\-yy"/>
  </numFmts>
  <fonts count="7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rgb="FF595959"/>
      <name val="Aptos Narrow"/>
      <family val="2"/>
    </font>
    <font>
      <sz val="9"/>
      <color rgb="FF595959"/>
      <name val="Aptos Narrow"/>
      <family val="2"/>
    </font>
    <font>
      <b val="true"/>
      <sz val="11"/>
      <color theme="1"/>
      <name val="Aptos Narrow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0.15"/>
        <bgColor rgb="FFDDE0C2"/>
      </patternFill>
    </fill>
    <fill>
      <patternFill patternType="solid">
        <fgColor theme="0" tint="-0.35"/>
        <bgColor rgb="FFC0C0C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 style="thin">
        <color theme="0"/>
      </right>
      <top style="thin">
        <color theme="0"/>
      </top>
      <bottom style="thin">
        <color theme="0"/>
      </bottom>
      <diagonal/>
    </border>
    <border diagonalUp="false" diagonalDown="false">
      <left/>
      <right style="thin">
        <color theme="0"/>
      </right>
      <top style="thin">
        <color theme="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7030A0"/>
          <bgColor rgb="FF000000"/>
        </patternFill>
      </fill>
    </dxf>
    <dxf>
      <fill>
        <patternFill patternType="solid">
          <fgColor rgb="FF747474"/>
          <bgColor rgb="FF000000"/>
        </patternFill>
      </fill>
    </dxf>
    <dxf>
      <fill>
        <patternFill patternType="solid">
          <fgColor rgb="FF8ED973"/>
          <bgColor rgb="FF000000"/>
        </patternFill>
      </fill>
    </dxf>
    <dxf>
      <fill>
        <patternFill patternType="solid">
          <fgColor rgb="FFA02B93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DDE0C2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F1DB55"/>
          <bgColor rgb="FF000000"/>
        </patternFill>
      </fill>
    </dxf>
    <dxf>
      <fill>
        <patternFill patternType="solid">
          <fgColor rgb="FFFF9966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A6A6A6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ont>
        <b val="1"/>
        <i val="0"/>
        <color rgb="FF000000"/>
      </font>
      <fill>
        <patternFill>
          <bgColor theme="8"/>
        </patternFill>
      </fill>
    </dxf>
    <dxf>
      <font>
        <b val="1"/>
        <i val="0"/>
        <color rgb="FF000000"/>
      </font>
      <fill>
        <patternFill>
          <bgColor rgb="FFFF9966"/>
        </patternFill>
      </fill>
    </dxf>
    <dxf>
      <font>
        <b val="1"/>
        <i val="0"/>
        <color rgb="FF000000"/>
      </font>
      <fill>
        <patternFill>
          <bgColor theme="2"/>
        </patternFill>
      </fill>
    </dxf>
    <dxf>
      <font>
        <b val="1"/>
        <i val="0"/>
        <color rgb="FF000000"/>
      </font>
      <fill>
        <patternFill>
          <bgColor rgb="FFFFFF00"/>
        </patternFill>
      </fill>
    </dxf>
    <dxf>
      <font>
        <b val="1"/>
        <i val="0"/>
        <color rgb="FF000000"/>
      </font>
      <fill>
        <patternFill>
          <bgColor rgb="FFF1DB55"/>
        </patternFill>
      </fill>
    </dxf>
    <dxf>
      <font>
        <b val="1"/>
        <i val="0"/>
        <color rgb="FF000000"/>
      </font>
      <fill>
        <patternFill>
          <bgColor rgb="FF7030A0"/>
        </patternFill>
      </fill>
    </dxf>
    <dxf>
      <font>
        <b val="1"/>
        <i val="0"/>
        <color rgb="FF000000"/>
      </font>
      <fill>
        <patternFill>
          <bgColor rgb="FFDDE0C2"/>
        </patternFill>
      </fill>
    </dxf>
    <dxf>
      <font>
        <b val="1"/>
        <i val="0"/>
        <color rgb="FF000000"/>
      </font>
      <fill>
        <patternFill>
          <bgColor theme="2" tint="-0.5"/>
        </patternFill>
      </fill>
    </dxf>
    <dxf>
      <font>
        <b val="1"/>
        <i val="0"/>
        <color rgb="FF000000"/>
      </font>
      <fill>
        <patternFill>
          <bgColor rgb="FFC00000"/>
        </patternFill>
      </fill>
    </dxf>
    <dxf>
      <font>
        <b val="1"/>
        <i val="0"/>
        <color rgb="FF000000"/>
      </font>
      <fill>
        <patternFill>
          <bgColor theme="9" tint="0.3999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C0C0C0"/>
      <rgbColor rgb="FF747474"/>
      <rgbColor rgb="FF9999FF"/>
      <rgbColor rgb="FFA02B93"/>
      <rgbColor rgb="FFE8E8E8"/>
      <rgbColor rgb="FFCCFFFF"/>
      <rgbColor rgb="FF660066"/>
      <rgbColor rgb="FFFF9966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0C2"/>
      <rgbColor rgb="FFFFFF99"/>
      <rgbColor rgb="FF99CCFF"/>
      <rgbColor rgb="FFFF99CC"/>
      <rgbColor rgb="FFCC99FF"/>
      <rgbColor rgb="FFF1DB55"/>
      <rgbColor rgb="FF3366FF"/>
      <rgbColor rgb="FF33CCCC"/>
      <rgbColor rgb="FF8ED973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7030A0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Timetable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areaChart>
        <c:grouping val="standard"/>
        <c:ser>
          <c:idx val="0"/>
          <c:order val="0"/>
          <c:tx>
            <c:strRef>
              <c:f>Sheet1!$C$1</c:f>
              <c:strCache>
                <c:ptCount val="1"/>
                <c:pt idx="0">
                  <c:v>Models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Sheet1!$A$2:$A$182</c:f>
              <c:strCache>
                <c:ptCount val="181"/>
                <c:pt idx="0">
                  <c:v>Nov-18</c:v>
                </c:pt>
                <c:pt idx="1">
                  <c:v>Nov-19</c:v>
                </c:pt>
                <c:pt idx="2">
                  <c:v>Dec-18</c:v>
                </c:pt>
                <c:pt idx="3">
                  <c:v>Jan-19</c:v>
                </c:pt>
                <c:pt idx="4">
                  <c:v>Jan-19</c:v>
                </c:pt>
                <c:pt idx="5">
                  <c:v>Jan-19</c:v>
                </c:pt>
                <c:pt idx="6">
                  <c:v>Feb-19</c:v>
                </c:pt>
                <c:pt idx="7">
                  <c:v>Feb-19</c:v>
                </c:pt>
                <c:pt idx="8">
                  <c:v>Mar-19</c:v>
                </c:pt>
                <c:pt idx="9">
                  <c:v>Apr-19</c:v>
                </c:pt>
                <c:pt idx="10">
                  <c:v>May-19</c:v>
                </c:pt>
                <c:pt idx="11">
                  <c:v>May-19</c:v>
                </c:pt>
                <c:pt idx="12">
                  <c:v>May-19</c:v>
                </c:pt>
                <c:pt idx="13">
                  <c:v>May-19</c:v>
                </c:pt>
                <c:pt idx="14">
                  <c:v>Jun-19</c:v>
                </c:pt>
                <c:pt idx="15">
                  <c:v>Jun-19</c:v>
                </c:pt>
                <c:pt idx="16">
                  <c:v>Jun-19</c:v>
                </c:pt>
                <c:pt idx="17">
                  <c:v>Jun-19</c:v>
                </c:pt>
                <c:pt idx="18">
                  <c:v>Jul-19</c:v>
                </c:pt>
                <c:pt idx="19">
                  <c:v>Jul-19</c:v>
                </c:pt>
                <c:pt idx="20">
                  <c:v>Aug-19</c:v>
                </c:pt>
                <c:pt idx="21">
                  <c:v>Aug-19</c:v>
                </c:pt>
                <c:pt idx="22">
                  <c:v>Aug-19</c:v>
                </c:pt>
                <c:pt idx="23">
                  <c:v>Aug-19</c:v>
                </c:pt>
                <c:pt idx="24">
                  <c:v>Sep-19</c:v>
                </c:pt>
                <c:pt idx="25">
                  <c:v>Sep-19</c:v>
                </c:pt>
                <c:pt idx="26">
                  <c:v>Sep-19</c:v>
                </c:pt>
                <c:pt idx="27">
                  <c:v>Oct-19</c:v>
                </c:pt>
                <c:pt idx="28">
                  <c:v>Oct-19</c:v>
                </c:pt>
                <c:pt idx="29">
                  <c:v>Oct-19</c:v>
                </c:pt>
                <c:pt idx="30">
                  <c:v>Oct-19</c:v>
                </c:pt>
                <c:pt idx="31">
                  <c:v>Oct-19</c:v>
                </c:pt>
                <c:pt idx="32">
                  <c:v>Oct-19</c:v>
                </c:pt>
                <c:pt idx="33">
                  <c:v>Oct-19</c:v>
                </c:pt>
                <c:pt idx="34">
                  <c:v>Oct-19</c:v>
                </c:pt>
                <c:pt idx="35">
                  <c:v>Oct-19</c:v>
                </c:pt>
                <c:pt idx="36">
                  <c:v>Nov-19</c:v>
                </c:pt>
                <c:pt idx="37">
                  <c:v>Nov-19</c:v>
                </c:pt>
                <c:pt idx="38">
                  <c:v>Nov-19</c:v>
                </c:pt>
                <c:pt idx="39">
                  <c:v>Dec-19</c:v>
                </c:pt>
                <c:pt idx="40">
                  <c:v>Jan-20</c:v>
                </c:pt>
                <c:pt idx="41">
                  <c:v>Jan-20</c:v>
                </c:pt>
                <c:pt idx="42">
                  <c:v>Jan-20</c:v>
                </c:pt>
                <c:pt idx="43">
                  <c:v>Jan-20</c:v>
                </c:pt>
                <c:pt idx="44">
                  <c:v>Jan-20</c:v>
                </c:pt>
                <c:pt idx="45">
                  <c:v>Feb-20</c:v>
                </c:pt>
                <c:pt idx="46">
                  <c:v>Feb-20</c:v>
                </c:pt>
                <c:pt idx="47">
                  <c:v>Feb-20</c:v>
                </c:pt>
                <c:pt idx="48">
                  <c:v>Feb-20</c:v>
                </c:pt>
                <c:pt idx="49">
                  <c:v>Feb-20</c:v>
                </c:pt>
                <c:pt idx="50">
                  <c:v>Feb-20</c:v>
                </c:pt>
                <c:pt idx="51">
                  <c:v>Feb-20</c:v>
                </c:pt>
                <c:pt idx="52">
                  <c:v>Feb-20</c:v>
                </c:pt>
                <c:pt idx="53">
                  <c:v>Feb-20</c:v>
                </c:pt>
                <c:pt idx="54">
                  <c:v>Feb-20</c:v>
                </c:pt>
                <c:pt idx="55">
                  <c:v>Feb-20</c:v>
                </c:pt>
                <c:pt idx="56">
                  <c:v>Feb-20</c:v>
                </c:pt>
                <c:pt idx="57">
                  <c:v>Feb-20</c:v>
                </c:pt>
                <c:pt idx="58">
                  <c:v>Mar-20</c:v>
                </c:pt>
                <c:pt idx="59">
                  <c:v>Mar-20</c:v>
                </c:pt>
                <c:pt idx="60">
                  <c:v>Mar-20</c:v>
                </c:pt>
                <c:pt idx="61">
                  <c:v>Mar-20</c:v>
                </c:pt>
                <c:pt idx="62">
                  <c:v>Mar-20</c:v>
                </c:pt>
                <c:pt idx="63">
                  <c:v>Mar-20</c:v>
                </c:pt>
                <c:pt idx="64">
                  <c:v>Apr-20</c:v>
                </c:pt>
                <c:pt idx="65">
                  <c:v>Apr-20</c:v>
                </c:pt>
                <c:pt idx="66">
                  <c:v>Apr-20</c:v>
                </c:pt>
                <c:pt idx="67">
                  <c:v>Apr-20</c:v>
                </c:pt>
                <c:pt idx="68">
                  <c:v>Apr-20</c:v>
                </c:pt>
                <c:pt idx="69">
                  <c:v>May-20</c:v>
                </c:pt>
                <c:pt idx="70">
                  <c:v>May-20</c:v>
                </c:pt>
                <c:pt idx="71">
                  <c:v>May-20</c:v>
                </c:pt>
                <c:pt idx="72">
                  <c:v>May-20</c:v>
                </c:pt>
                <c:pt idx="73">
                  <c:v>May-20</c:v>
                </c:pt>
                <c:pt idx="74">
                  <c:v>May-20</c:v>
                </c:pt>
                <c:pt idx="75">
                  <c:v>Jun-20</c:v>
                </c:pt>
                <c:pt idx="76">
                  <c:v>Jun-20</c:v>
                </c:pt>
                <c:pt idx="77">
                  <c:v>Jun-20</c:v>
                </c:pt>
                <c:pt idx="78">
                  <c:v>Jun-20</c:v>
                </c:pt>
                <c:pt idx="79">
                  <c:v>Jun-20</c:v>
                </c:pt>
                <c:pt idx="80">
                  <c:v>Jun-20</c:v>
                </c:pt>
                <c:pt idx="81">
                  <c:v>Jul-20</c:v>
                </c:pt>
                <c:pt idx="82">
                  <c:v>Aug-20</c:v>
                </c:pt>
                <c:pt idx="83">
                  <c:v>Aug-20</c:v>
                </c:pt>
                <c:pt idx="84">
                  <c:v>Aug-20</c:v>
                </c:pt>
                <c:pt idx="85">
                  <c:v>Aug-20</c:v>
                </c:pt>
                <c:pt idx="86">
                  <c:v>Aug-20</c:v>
                </c:pt>
                <c:pt idx="87">
                  <c:v>Aug-20</c:v>
                </c:pt>
                <c:pt idx="88">
                  <c:v>Aug-20</c:v>
                </c:pt>
                <c:pt idx="89">
                  <c:v>Sep-20</c:v>
                </c:pt>
                <c:pt idx="90">
                  <c:v>Sep-20</c:v>
                </c:pt>
                <c:pt idx="91">
                  <c:v>Sep-20</c:v>
                </c:pt>
                <c:pt idx="92">
                  <c:v>Sep-20</c:v>
                </c:pt>
                <c:pt idx="93">
                  <c:v>Sep-20</c:v>
                </c:pt>
                <c:pt idx="94">
                  <c:v>Sep-20</c:v>
                </c:pt>
                <c:pt idx="95">
                  <c:v>Sep-20</c:v>
                </c:pt>
                <c:pt idx="96">
                  <c:v>Sep-20</c:v>
                </c:pt>
                <c:pt idx="97">
                  <c:v>Sep-20</c:v>
                </c:pt>
                <c:pt idx="98">
                  <c:v>Sep-20</c:v>
                </c:pt>
                <c:pt idx="99">
                  <c:v>Sep-20</c:v>
                </c:pt>
                <c:pt idx="100">
                  <c:v>Sep-20</c:v>
                </c:pt>
                <c:pt idx="101">
                  <c:v>Oct-20</c:v>
                </c:pt>
                <c:pt idx="102">
                  <c:v>Nov-20</c:v>
                </c:pt>
                <c:pt idx="103">
                  <c:v>Dec-20</c:v>
                </c:pt>
                <c:pt idx="104">
                  <c:v>Jan-21</c:v>
                </c:pt>
                <c:pt idx="105">
                  <c:v>Feb-21</c:v>
                </c:pt>
                <c:pt idx="106">
                  <c:v>Mar-21</c:v>
                </c:pt>
                <c:pt idx="107">
                  <c:v>Apr-21</c:v>
                </c:pt>
                <c:pt idx="108">
                  <c:v>Apr-21</c:v>
                </c:pt>
                <c:pt idx="109">
                  <c:v>Apr-21</c:v>
                </c:pt>
                <c:pt idx="110">
                  <c:v>May-21</c:v>
                </c:pt>
                <c:pt idx="111">
                  <c:v>May-21</c:v>
                </c:pt>
                <c:pt idx="112">
                  <c:v>May-21</c:v>
                </c:pt>
                <c:pt idx="113">
                  <c:v>Jun-21</c:v>
                </c:pt>
                <c:pt idx="114">
                  <c:v>Jul-21</c:v>
                </c:pt>
                <c:pt idx="115">
                  <c:v>Aug-21</c:v>
                </c:pt>
                <c:pt idx="116">
                  <c:v>Aug-21</c:v>
                </c:pt>
                <c:pt idx="117">
                  <c:v>Aug-21</c:v>
                </c:pt>
                <c:pt idx="118">
                  <c:v>Aug-21</c:v>
                </c:pt>
                <c:pt idx="119">
                  <c:v>Aug-21</c:v>
                </c:pt>
                <c:pt idx="120">
                  <c:v>Aug-21</c:v>
                </c:pt>
                <c:pt idx="121">
                  <c:v>Sep-21</c:v>
                </c:pt>
                <c:pt idx="122">
                  <c:v>Oct-21</c:v>
                </c:pt>
                <c:pt idx="123">
                  <c:v>Nov-21</c:v>
                </c:pt>
                <c:pt idx="124">
                  <c:v>Dec-21</c:v>
                </c:pt>
                <c:pt idx="125">
                  <c:v>Dec-21</c:v>
                </c:pt>
                <c:pt idx="126">
                  <c:v>Dec-21</c:v>
                </c:pt>
                <c:pt idx="127">
                  <c:v>Dec-21</c:v>
                </c:pt>
                <c:pt idx="128">
                  <c:v>Jan-22</c:v>
                </c:pt>
                <c:pt idx="129">
                  <c:v>Feb-22</c:v>
                </c:pt>
                <c:pt idx="130">
                  <c:v>Feb-22</c:v>
                </c:pt>
                <c:pt idx="131">
                  <c:v>Mar-22</c:v>
                </c:pt>
                <c:pt idx="132">
                  <c:v>Mar-22</c:v>
                </c:pt>
                <c:pt idx="133">
                  <c:v>Mar-22</c:v>
                </c:pt>
                <c:pt idx="134">
                  <c:v>Apr-22</c:v>
                </c:pt>
                <c:pt idx="135">
                  <c:v>May-22</c:v>
                </c:pt>
                <c:pt idx="136">
                  <c:v>May-22</c:v>
                </c:pt>
                <c:pt idx="137">
                  <c:v>May-22</c:v>
                </c:pt>
                <c:pt idx="138">
                  <c:v>Jun-22</c:v>
                </c:pt>
                <c:pt idx="139">
                  <c:v>Jun-22</c:v>
                </c:pt>
                <c:pt idx="140">
                  <c:v>Jul-22</c:v>
                </c:pt>
                <c:pt idx="141">
                  <c:v>Aug-22</c:v>
                </c:pt>
                <c:pt idx="142">
                  <c:v>Sep-22</c:v>
                </c:pt>
                <c:pt idx="143">
                  <c:v>Oct-22</c:v>
                </c:pt>
                <c:pt idx="144">
                  <c:v>Nov-22</c:v>
                </c:pt>
                <c:pt idx="145">
                  <c:v>Dec-22</c:v>
                </c:pt>
                <c:pt idx="146">
                  <c:v>Jan-23</c:v>
                </c:pt>
                <c:pt idx="147">
                  <c:v>Jan-23</c:v>
                </c:pt>
                <c:pt idx="148">
                  <c:v>Feb-23</c:v>
                </c:pt>
                <c:pt idx="149">
                  <c:v>Mar-23</c:v>
                </c:pt>
                <c:pt idx="150">
                  <c:v>Mar-23</c:v>
                </c:pt>
                <c:pt idx="151">
                  <c:v>Apr-23</c:v>
                </c:pt>
                <c:pt idx="152">
                  <c:v>May-23</c:v>
                </c:pt>
                <c:pt idx="153">
                  <c:v>Jun-23</c:v>
                </c:pt>
                <c:pt idx="154">
                  <c:v>Jul-23</c:v>
                </c:pt>
                <c:pt idx="155">
                  <c:v>Aug-23</c:v>
                </c:pt>
                <c:pt idx="156">
                  <c:v>Sep-23</c:v>
                </c:pt>
                <c:pt idx="157">
                  <c:v>Oct-23</c:v>
                </c:pt>
                <c:pt idx="158">
                  <c:v>Nov-23</c:v>
                </c:pt>
                <c:pt idx="159">
                  <c:v>Dec-23</c:v>
                </c:pt>
                <c:pt idx="160">
                  <c:v>Jan-24</c:v>
                </c:pt>
                <c:pt idx="161">
                  <c:v>Feb-24</c:v>
                </c:pt>
                <c:pt idx="162">
                  <c:v>Mar-24</c:v>
                </c:pt>
                <c:pt idx="163">
                  <c:v>Apr-24</c:v>
                </c:pt>
                <c:pt idx="164">
                  <c:v>May-24</c:v>
                </c:pt>
                <c:pt idx="165">
                  <c:v>Jun-24</c:v>
                </c:pt>
                <c:pt idx="166">
                  <c:v>Jul-24</c:v>
                </c:pt>
                <c:pt idx="167">
                  <c:v>Aug-24</c:v>
                </c:pt>
                <c:pt idx="168">
                  <c:v>Aug-24</c:v>
                </c:pt>
                <c:pt idx="169">
                  <c:v>Aug-24</c:v>
                </c:pt>
                <c:pt idx="170">
                  <c:v>Sep-24</c:v>
                </c:pt>
                <c:pt idx="171">
                  <c:v>Oct-24</c:v>
                </c:pt>
                <c:pt idx="172">
                  <c:v>Nov-24</c:v>
                </c:pt>
                <c:pt idx="173">
                  <c:v>Dec-24</c:v>
                </c:pt>
                <c:pt idx="174">
                  <c:v>Jan-25</c:v>
                </c:pt>
                <c:pt idx="175">
                  <c:v>Feb-25</c:v>
                </c:pt>
                <c:pt idx="176">
                  <c:v>Mar-25</c:v>
                </c:pt>
                <c:pt idx="177">
                  <c:v>Apr-25</c:v>
                </c:pt>
                <c:pt idx="178">
                  <c:v>Apr-25</c:v>
                </c:pt>
                <c:pt idx="179">
                  <c:v>May-25</c:v>
                </c:pt>
                <c:pt idx="180">
                  <c:v>Jun-25</c:v>
                </c:pt>
              </c:strCache>
            </c:strRef>
          </c:cat>
          <c:val>
            <c:numRef>
              <c:f>Sheet1!$C$2:$C$182</c:f>
              <c:numCache>
                <c:formatCode>General</c:formatCode>
                <c:ptCount val="181"/>
                <c:pt idx="0">
                  <c:v>8</c:v>
                </c:pt>
                <c:pt idx="1">
                  <c:v>10</c:v>
                </c:pt>
                <c:pt idx="2">
                  <c:v>8</c:v>
                </c:pt>
                <c:pt idx="3">
                  <c:v>6</c:v>
                </c:pt>
                <c:pt idx="4">
                  <c:v>1</c:v>
                </c:pt>
                <c:pt idx="5">
                  <c:v>6</c:v>
                </c:pt>
                <c:pt idx="6">
                  <c:v>6</c:v>
                </c:pt>
                <c:pt idx="7">
                  <c:v>5</c:v>
                </c:pt>
                <c:pt idx="8">
                  <c:v>40</c:v>
                </c:pt>
                <c:pt idx="9">
                  <c:v>15</c:v>
                </c:pt>
                <c:pt idx="10">
                  <c:v>5</c:v>
                </c:pt>
                <c:pt idx="11">
                  <c:v>1</c:v>
                </c:pt>
                <c:pt idx="12">
                  <c:v>1</c:v>
                </c:pt>
                <c:pt idx="13">
                  <c:v>10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3</c:v>
                </c:pt>
                <c:pt idx="18">
                  <c:v>1</c:v>
                </c:pt>
                <c:pt idx="19">
                  <c:v>22</c:v>
                </c:pt>
                <c:pt idx="20">
                  <c:v>1</c:v>
                </c:pt>
                <c:pt idx="21">
                  <c:v>4</c:v>
                </c:pt>
                <c:pt idx="22">
                  <c:v>1</c:v>
                </c:pt>
                <c:pt idx="23">
                  <c:v>6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2</c:v>
                </c:pt>
                <c:pt idx="28">
                  <c:v>10</c:v>
                </c:pt>
                <c:pt idx="29">
                  <c:v>6</c:v>
                </c:pt>
                <c:pt idx="30">
                  <c:v>6</c:v>
                </c:pt>
                <c:pt idx="31">
                  <c:v>7</c:v>
                </c:pt>
                <c:pt idx="32">
                  <c:v>2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10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3</c:v>
                </c:pt>
                <c:pt idx="41">
                  <c:v>1</c:v>
                </c:pt>
                <c:pt idx="42">
                  <c:v>8</c:v>
                </c:pt>
                <c:pt idx="43">
                  <c:v>3</c:v>
                </c:pt>
                <c:pt idx="44">
                  <c:v>1</c:v>
                </c:pt>
                <c:pt idx="45">
                  <c:v>30</c:v>
                </c:pt>
                <c:pt idx="46">
                  <c:v>9</c:v>
                </c:pt>
                <c:pt idx="47">
                  <c:v>2</c:v>
                </c:pt>
                <c:pt idx="48">
                  <c:v>1</c:v>
                </c:pt>
                <c:pt idx="49">
                  <c:v>1</c:v>
                </c:pt>
                <c:pt idx="50">
                  <c:v>17</c:v>
                </c:pt>
                <c:pt idx="51">
                  <c:v>3</c:v>
                </c:pt>
                <c:pt idx="52">
                  <c:v>2</c:v>
                </c:pt>
                <c:pt idx="53">
                  <c:v>1</c:v>
                </c:pt>
                <c:pt idx="54">
                  <c:v>3</c:v>
                </c:pt>
                <c:pt idx="55">
                  <c:v>1</c:v>
                </c:pt>
                <c:pt idx="56">
                  <c:v>1</c:v>
                </c:pt>
                <c:pt idx="57">
                  <c:v>2</c:v>
                </c:pt>
                <c:pt idx="58">
                  <c:v>1</c:v>
                </c:pt>
                <c:pt idx="59">
                  <c:v>12</c:v>
                </c:pt>
                <c:pt idx="60">
                  <c:v>2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5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5</c:v>
                </c:pt>
                <c:pt idx="69">
                  <c:v>10</c:v>
                </c:pt>
                <c:pt idx="70">
                  <c:v>8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7</c:v>
                </c:pt>
                <c:pt idx="76">
                  <c:v>1</c:v>
                </c:pt>
                <c:pt idx="77">
                  <c:v>3</c:v>
                </c:pt>
                <c:pt idx="78">
                  <c:v>2</c:v>
                </c:pt>
                <c:pt idx="79">
                  <c:v>1</c:v>
                </c:pt>
                <c:pt idx="80">
                  <c:v>5</c:v>
                </c:pt>
                <c:pt idx="81">
                  <c:v>0</c:v>
                </c:pt>
                <c:pt idx="82">
                  <c:v>1</c:v>
                </c:pt>
                <c:pt idx="83">
                  <c:v>2</c:v>
                </c:pt>
                <c:pt idx="84">
                  <c:v>3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3</c:v>
                </c:pt>
                <c:pt idx="90">
                  <c:v>3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5</c:v>
                </c:pt>
                <c:pt idx="96">
                  <c:v>5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1</c:v>
                </c:pt>
                <c:pt idx="107">
                  <c:v>1</c:v>
                </c:pt>
                <c:pt idx="108">
                  <c:v>5</c:v>
                </c:pt>
                <c:pt idx="109">
                  <c:v>10</c:v>
                </c:pt>
                <c:pt idx="110">
                  <c:v>5</c:v>
                </c:pt>
                <c:pt idx="111">
                  <c:v>1</c:v>
                </c:pt>
                <c:pt idx="112">
                  <c:v>1</c:v>
                </c:pt>
                <c:pt idx="113">
                  <c:v>0</c:v>
                </c:pt>
                <c:pt idx="114">
                  <c:v>0</c:v>
                </c:pt>
                <c:pt idx="115">
                  <c:v>1</c:v>
                </c:pt>
                <c:pt idx="116">
                  <c:v>1</c:v>
                </c:pt>
                <c:pt idx="117">
                  <c:v>4</c:v>
                </c:pt>
                <c:pt idx="118">
                  <c:v>1</c:v>
                </c:pt>
                <c:pt idx="119">
                  <c:v>2</c:v>
                </c:pt>
                <c:pt idx="120">
                  <c:v>1</c:v>
                </c:pt>
                <c:pt idx="121">
                  <c:v>1</c:v>
                </c:pt>
                <c:pt idx="122">
                  <c:v>0</c:v>
                </c:pt>
                <c:pt idx="123">
                  <c:v>10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4</c:v>
                </c:pt>
                <c:pt idx="129">
                  <c:v>2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1</c:v>
                </c:pt>
                <c:pt idx="137">
                  <c:v>1</c:v>
                </c:pt>
                <c:pt idx="138">
                  <c:v>5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0</c:v>
                </c:pt>
                <c:pt idx="146">
                  <c:v>1</c:v>
                </c:pt>
                <c:pt idx="147">
                  <c:v>4</c:v>
                </c:pt>
                <c:pt idx="148">
                  <c:v>5</c:v>
                </c:pt>
                <c:pt idx="149">
                  <c:v>1</c:v>
                </c:pt>
                <c:pt idx="150">
                  <c:v>1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1</c:v>
                </c:pt>
                <c:pt idx="157">
                  <c:v>0</c:v>
                </c:pt>
                <c:pt idx="158">
                  <c:v>0</c:v>
                </c:pt>
                <c:pt idx="159">
                  <c:v>3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3</c:v>
                </c:pt>
                <c:pt idx="166">
                  <c:v>5</c:v>
                </c:pt>
                <c:pt idx="167">
                  <c:v>5</c:v>
                </c:pt>
                <c:pt idx="168">
                  <c:v>1</c:v>
                </c:pt>
                <c:pt idx="169">
                  <c:v>1</c:v>
                </c:pt>
                <c:pt idx="173">
                  <c:v>5</c:v>
                </c:pt>
                <c:pt idx="177">
                  <c:v>1</c:v>
                </c:pt>
                <c:pt idx="178">
                  <c:v>6</c:v>
                </c:pt>
                <c:pt idx="179">
                  <c:v>9</c:v>
                </c:pt>
                <c:pt idx="180">
                  <c:v>3</c:v>
                </c:pt>
              </c:numCache>
            </c:numRef>
          </c:val>
        </c:ser>
        <c:axId val="72974915"/>
        <c:axId val="22679837"/>
      </c:areaChart>
      <c:catAx>
        <c:axId val="72974915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22679837"/>
        <c:crosses val="autoZero"/>
        <c:auto val="1"/>
        <c:lblAlgn val="ctr"/>
        <c:lblOffset val="100"/>
        <c:noMultiLvlLbl val="0"/>
      </c:catAx>
      <c:valAx>
        <c:axId val="2267983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72974915"/>
        <c:crosses val="autoZero"/>
        <c:crossBetween val="midCat"/>
      </c:valAx>
      <c:spPr>
        <a:noFill/>
        <a:ln w="0">
          <a:solidFill>
            <a:srgbClr val="000000"/>
          </a:solidFill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16560</xdr:colOff>
      <xdr:row>33</xdr:row>
      <xdr:rowOff>178560</xdr:rowOff>
    </xdr:from>
    <xdr:to>
      <xdr:col>15</xdr:col>
      <xdr:colOff>621720</xdr:colOff>
      <xdr:row>49</xdr:row>
      <xdr:rowOff>24480</xdr:rowOff>
    </xdr:to>
    <xdr:graphicFrame>
      <xdr:nvGraphicFramePr>
        <xdr:cNvPr id="0" name="Chart 1"/>
        <xdr:cNvGraphicFramePr/>
      </xdr:nvGraphicFramePr>
      <xdr:xfrm>
        <a:off x="7723080" y="7024320"/>
        <a:ext cx="7509960" cy="3178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H4:H5" headerRowCount="1" totalsRowCount="0" totalsRowShown="0">
  <autoFilter ref="H4:H5"/>
  <tableColumns count="1">
    <tableColumn id="1" name="Current Project"/>
  </tableColumns>
</table>
</file>

<file path=xl/tables/table2.xml><?xml version="1.0" encoding="utf-8"?>
<table xmlns="http://schemas.openxmlformats.org/spreadsheetml/2006/main" id="2" name="Table2" displayName="Table2" ref="A1:F176" headerRowCount="1" totalsRowCount="0" totalsRowShown="0">
  <autoFilter ref="A1:F176"/>
  <tableColumns count="6">
    <tableColumn id="1" name="Date"/>
    <tableColumn id="2" name="Project"/>
    <tableColumn id="3" name="Models"/>
    <tableColumn id="4" name="Description"/>
    <tableColumn id="5" name="Faction"/>
    <tableColumn id="6" name="Brand"/>
  </tableColumns>
</table>
</file>

<file path=xl/tables/table3.xml><?xml version="1.0" encoding="utf-8"?>
<table xmlns="http://schemas.openxmlformats.org/spreadsheetml/2006/main" id="3" name="Table3" displayName="Table3" ref="J1:J11" headerRowCount="1" totalsRowCount="0" totalsRowShown="0">
  <autoFilter ref="J1:J11"/>
  <tableColumns count="1">
    <tableColumn id="1" name="Project List"/>
  </tableColumns>
</table>
</file>

<file path=xl/tables/table4.xml><?xml version="1.0" encoding="utf-8"?>
<table xmlns="http://schemas.openxmlformats.org/spreadsheetml/2006/main" id="4" name="Table4" displayName="Table4" ref="H1:H2" headerRowCount="1" totalsRowCount="0" totalsRowShown="0">
  <autoFilter ref="H1:H2"/>
  <tableColumns count="1">
    <tableColumn id="1" name="Total Painted"/>
  </tableColumns>
</table>
</file>

<file path=xl/tables/table5.xml><?xml version="1.0" encoding="utf-8"?>
<table xmlns="http://schemas.openxmlformats.org/spreadsheetml/2006/main" id="5" name="Table5" displayName="Table5" ref="A1:P268" headerRowCount="1" totalsRowCount="0" totalsRowShown="0">
  <autoFilter ref="A1:P268"/>
  <tableColumns count="16">
    <tableColumn id="1" name="Paint"/>
    <tableColumn id="2" name="Brand"/>
    <tableColumn id="3" name="Series"/>
    <tableColumn id="4" name="Total Used"/>
    <tableColumn id="5" name="Ulthwé"/>
    <tableColumn id="6" name="Details U"/>
    <tableColumn id="7" name="Ynnari"/>
    <tableColumn id="8" name="Details Y"/>
    <tableColumn id="9" name="Harlequins"/>
    <tableColumn id="10" name="Details H"/>
    <tableColumn id="11" name="Sylvaneth"/>
    <tableColumn id="12" name="Details S"/>
    <tableColumn id="13" name="Lumineth"/>
    <tableColumn id="14" name="Details L"/>
    <tableColumn id="15" name="High Elves"/>
    <tableColumn id="16" name="Details H2"/>
  </tableColumns>
</table>
</file>

<file path=xl/tables/table6.xml><?xml version="1.0" encoding="utf-8"?>
<table xmlns="http://schemas.openxmlformats.org/spreadsheetml/2006/main" id="6" name="Table6" displayName="Table6" ref="H7:H13" headerRowCount="1" totalsRowCount="1" totalsRowShown="1">
  <autoFilter ref="H7:H13"/>
  <tableColumns count="1">
    <tableColumn id="1" name="Most Used Paints"/>
  </tableColumns>
</table>
</file>

<file path=xl/tables/table7.xml><?xml version="1.0" encoding="utf-8"?>
<table xmlns="http://schemas.openxmlformats.org/spreadsheetml/2006/main" id="7" name="Table7" displayName="Table7" ref="H18:H26" headerRowCount="1" totalsRowCount="0" totalsRowShown="0">
  <autoFilter ref="H18:H26"/>
  <tableColumns count="1">
    <tableColumn id="1" name="My Must-Have Paint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Relationship Id="rId3" Type="http://schemas.openxmlformats.org/officeDocument/2006/relationships/table" Target="../tables/table2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Relationship Id="rId6" Type="http://schemas.openxmlformats.org/officeDocument/2006/relationships/table" Target="../tables/table6.xml"/><Relationship Id="rId7" Type="http://schemas.openxmlformats.org/officeDocument/2006/relationships/table" Target="../tables/table7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95"/>
  <sheetViews>
    <sheetView showFormulas="false" showGridLines="true" showRowColHeaders="true" showZeros="true" rightToLeft="false" tabSelected="false" showOutlineSymbols="true" defaultGridColor="true" view="normal" topLeftCell="A162" colorId="64" zoomScale="81" zoomScaleNormal="81" zoomScalePageLayoutView="100" workbookViewId="0">
      <selection pane="topLeft" activeCell="H6" activeCellId="0" sqref="H6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6.67"/>
    <col collapsed="false" customWidth="true" hidden="false" outlineLevel="0" max="2" min="2" style="1" width="15.73"/>
    <col collapsed="false" customWidth="true" hidden="false" outlineLevel="0" max="3" min="3" style="1" width="8.73"/>
    <col collapsed="false" customWidth="true" hidden="false" outlineLevel="0" max="4" min="4" style="1" width="28.2"/>
    <col collapsed="false" customWidth="true" hidden="false" outlineLevel="0" max="5" min="5" style="1" width="18.47"/>
    <col collapsed="false" customWidth="true" hidden="false" outlineLevel="0" max="6" min="6" style="1" width="9.93"/>
    <col collapsed="false" customWidth="true" hidden="false" outlineLevel="0" max="8" min="8" style="1" width="19"/>
    <col collapsed="false" customWidth="true" hidden="false" outlineLevel="0" max="10" min="10" style="1" width="15.73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s="2" t="s">
        <v>6</v>
      </c>
      <c r="J1" s="2" t="s">
        <v>7</v>
      </c>
    </row>
    <row r="2" customFormat="false" ht="16.4" hidden="false" customHeight="false" outlineLevel="0" collapsed="false">
      <c r="A2" s="3" t="n">
        <v>43405</v>
      </c>
      <c r="B2" s="2" t="s">
        <v>8</v>
      </c>
      <c r="C2" s="1" t="n">
        <v>8</v>
      </c>
      <c r="D2" s="2" t="s">
        <v>9</v>
      </c>
      <c r="E2" s="2" t="s">
        <v>10</v>
      </c>
      <c r="F2" s="2" t="s">
        <v>11</v>
      </c>
      <c r="H2" s="2" t="n">
        <f aca="false">SUM(C2:C1032)</f>
        <v>553</v>
      </c>
      <c r="J2" s="2" t="s">
        <v>8</v>
      </c>
    </row>
    <row r="3" customFormat="false" ht="16.4" hidden="false" customHeight="false" outlineLevel="0" collapsed="false">
      <c r="A3" s="3" t="n">
        <v>43770</v>
      </c>
      <c r="B3" s="2" t="s">
        <v>8</v>
      </c>
      <c r="C3" s="1" t="n">
        <v>10</v>
      </c>
      <c r="D3" s="2" t="s">
        <v>12</v>
      </c>
      <c r="E3" s="2" t="s">
        <v>10</v>
      </c>
      <c r="F3" s="2" t="s">
        <v>11</v>
      </c>
      <c r="J3" s="2" t="s">
        <v>13</v>
      </c>
    </row>
    <row r="4" customFormat="false" ht="16.4" hidden="false" customHeight="false" outlineLevel="0" collapsed="false">
      <c r="A4" s="3" t="n">
        <v>43435</v>
      </c>
      <c r="B4" s="2" t="s">
        <v>8</v>
      </c>
      <c r="C4" s="1" t="n">
        <v>8</v>
      </c>
      <c r="D4" s="2" t="s">
        <v>14</v>
      </c>
      <c r="E4" s="2" t="s">
        <v>10</v>
      </c>
      <c r="F4" s="2" t="s">
        <v>11</v>
      </c>
      <c r="H4" s="2" t="s">
        <v>15</v>
      </c>
      <c r="J4" s="2" t="s">
        <v>16</v>
      </c>
    </row>
    <row r="5" customFormat="false" ht="16.4" hidden="false" customHeight="false" outlineLevel="0" collapsed="false">
      <c r="A5" s="3" t="n">
        <v>43466</v>
      </c>
      <c r="B5" s="2" t="s">
        <v>8</v>
      </c>
      <c r="C5" s="1" t="n">
        <v>6</v>
      </c>
      <c r="D5" s="2" t="s">
        <v>17</v>
      </c>
      <c r="E5" s="2" t="s">
        <v>10</v>
      </c>
      <c r="F5" s="2" t="s">
        <v>11</v>
      </c>
      <c r="H5" s="2" t="s">
        <v>18</v>
      </c>
      <c r="J5" s="2" t="s">
        <v>19</v>
      </c>
    </row>
    <row r="6" customFormat="false" ht="16.4" hidden="false" customHeight="false" outlineLevel="0" collapsed="false">
      <c r="A6" s="3" t="n">
        <v>43466</v>
      </c>
      <c r="B6" s="2" t="s">
        <v>20</v>
      </c>
      <c r="C6" s="1" t="n">
        <v>1</v>
      </c>
      <c r="D6" s="2" t="s">
        <v>21</v>
      </c>
      <c r="E6" s="2" t="s">
        <v>22</v>
      </c>
      <c r="F6" s="2" t="s">
        <v>11</v>
      </c>
      <c r="J6" s="2" t="s">
        <v>23</v>
      </c>
    </row>
    <row r="7" customFormat="false" ht="16.4" hidden="false" customHeight="false" outlineLevel="0" collapsed="false">
      <c r="A7" s="3" t="n">
        <v>43466</v>
      </c>
      <c r="B7" s="2" t="s">
        <v>8</v>
      </c>
      <c r="C7" s="1" t="n">
        <v>6</v>
      </c>
      <c r="D7" s="2" t="s">
        <v>24</v>
      </c>
      <c r="E7" s="2" t="s">
        <v>10</v>
      </c>
      <c r="F7" s="2" t="s">
        <v>11</v>
      </c>
      <c r="H7" s="2" t="s">
        <v>25</v>
      </c>
      <c r="J7" s="2" t="s">
        <v>26</v>
      </c>
    </row>
    <row r="8" customFormat="false" ht="16.4" hidden="false" customHeight="false" outlineLevel="0" collapsed="false">
      <c r="A8" s="3" t="n">
        <v>43497</v>
      </c>
      <c r="B8" s="2" t="s">
        <v>13</v>
      </c>
      <c r="C8" s="1" t="n">
        <v>6</v>
      </c>
      <c r="D8" s="2" t="s">
        <v>27</v>
      </c>
      <c r="E8" s="2" t="s">
        <v>28</v>
      </c>
      <c r="F8" s="2" t="s">
        <v>11</v>
      </c>
      <c r="H8" s="1" t="str">
        <f aca="false">INDEX(Paints!A:A, MATCH(LARGE(Paints!D:D, 1), Paints!D:D, 0))</f>
        <v>Dark Turquoise</v>
      </c>
      <c r="J8" s="2" t="s">
        <v>29</v>
      </c>
    </row>
    <row r="9" customFormat="false" ht="16.4" hidden="false" customHeight="false" outlineLevel="0" collapsed="false">
      <c r="A9" s="3" t="n">
        <v>43497</v>
      </c>
      <c r="B9" s="2" t="s">
        <v>29</v>
      </c>
      <c r="C9" s="1" t="n">
        <v>5</v>
      </c>
      <c r="D9" s="2" t="s">
        <v>30</v>
      </c>
      <c r="E9" s="2" t="s">
        <v>31</v>
      </c>
      <c r="F9" s="2" t="s">
        <v>11</v>
      </c>
      <c r="H9" s="2" t="str">
        <f aca="false" t="array" ref="H9:H9">IFERROR(INDEX(Paints!A:A, SMALL(IF(Paints!D:D=LARGE(Paints!D:D, 2), ROW(Paints!D:D), ""), 2)), INDEX(Paints!A:A, MATCH(LARGE(Paints!D:D, 3), Paints!D:D, 0)))</f>
        <v>Anthracite Grey</v>
      </c>
      <c r="J9" s="2" t="s">
        <v>20</v>
      </c>
    </row>
    <row r="10" customFormat="false" ht="16.4" hidden="false" customHeight="false" outlineLevel="0" collapsed="false">
      <c r="A10" s="3" t="n">
        <v>43525</v>
      </c>
      <c r="B10" s="2" t="s">
        <v>13</v>
      </c>
      <c r="C10" s="1" t="n">
        <v>40</v>
      </c>
      <c r="D10" s="2" t="s">
        <v>32</v>
      </c>
      <c r="E10" s="2" t="s">
        <v>28</v>
      </c>
      <c r="F10" s="2" t="s">
        <v>11</v>
      </c>
      <c r="H10" s="2" t="str">
        <f aca="false" t="array" ref="H10:H10">IFERROR(INDEX(Paints!A:A, SMALL(IF(Paints!D:D=LARGE(Paints!D:D, 3), ROW(Paints!D:D), ""), 3)), INDEX(Paints!A:A, MATCH(LARGE(Paints!D:D, 4), Paints!D:D, 0)))</f>
        <v>Dragon Blood</v>
      </c>
      <c r="J10" s="2" t="s">
        <v>33</v>
      </c>
    </row>
    <row r="11" customFormat="false" ht="16.4" hidden="false" customHeight="false" outlineLevel="0" collapsed="false">
      <c r="A11" s="3" t="n">
        <v>43556</v>
      </c>
      <c r="B11" s="2" t="s">
        <v>13</v>
      </c>
      <c r="C11" s="1" t="n">
        <v>15</v>
      </c>
      <c r="D11" s="2" t="s">
        <v>34</v>
      </c>
      <c r="E11" s="2" t="s">
        <v>28</v>
      </c>
      <c r="F11" s="2" t="s">
        <v>11</v>
      </c>
      <c r="H11" s="2" t="str">
        <f aca="false" t="array" ref="H11:H11">IFERROR(INDEX(Paints!A:A, SMALL(IF(Paints!D:D=LARGE(Paints!D:D, 4), ROW(Paints!D:D), ""), 4)), INDEX(Paints!A:A, MATCH(LARGE(Paints!D:D, 5), Paints!D:D, 0)))</f>
        <v>Grimy Grey</v>
      </c>
      <c r="J11" s="2" t="s">
        <v>35</v>
      </c>
    </row>
    <row r="12" customFormat="false" ht="16.4" hidden="false" customHeight="false" outlineLevel="0" collapsed="false">
      <c r="A12" s="3" t="n">
        <v>43586</v>
      </c>
      <c r="B12" s="2" t="s">
        <v>13</v>
      </c>
      <c r="C12" s="1" t="n">
        <v>5</v>
      </c>
      <c r="D12" s="2" t="s">
        <v>36</v>
      </c>
      <c r="E12" s="2" t="s">
        <v>28</v>
      </c>
      <c r="F12" s="2" t="s">
        <v>11</v>
      </c>
      <c r="H12" s="2" t="str">
        <f aca="false" t="array" ref="H12:H12">IFERROR(INDEX(Paints!A:A, SMALL(IF(Paints!D:D=LARGE(Paints!D:D, 5), ROW(Paints!D:D), ""), 5)), INDEX(Paints!A:A, MATCH(LARGE(Paints!D:D, 6), Paints!D:D, 0)))</f>
        <v>Japanese Brown</v>
      </c>
    </row>
    <row r="13" customFormat="false" ht="16.4" hidden="false" customHeight="false" outlineLevel="0" collapsed="false">
      <c r="A13" s="3" t="n">
        <v>43586</v>
      </c>
      <c r="B13" s="2" t="s">
        <v>13</v>
      </c>
      <c r="C13" s="1" t="n">
        <v>1</v>
      </c>
      <c r="D13" s="2" t="s">
        <v>37</v>
      </c>
      <c r="E13" s="2" t="s">
        <v>28</v>
      </c>
      <c r="F13" s="2" t="s">
        <v>11</v>
      </c>
    </row>
    <row r="14" customFormat="false" ht="16.4" hidden="false" customHeight="false" outlineLevel="0" collapsed="false">
      <c r="A14" s="3" t="n">
        <v>43586</v>
      </c>
      <c r="B14" s="2" t="s">
        <v>13</v>
      </c>
      <c r="C14" s="1" t="n">
        <v>1</v>
      </c>
      <c r="D14" s="2" t="s">
        <v>38</v>
      </c>
      <c r="E14" s="2" t="s">
        <v>28</v>
      </c>
      <c r="F14" s="2" t="s">
        <v>11</v>
      </c>
    </row>
    <row r="15" customFormat="false" ht="16.4" hidden="false" customHeight="false" outlineLevel="0" collapsed="false">
      <c r="A15" s="3" t="n">
        <v>43586</v>
      </c>
      <c r="B15" s="2" t="s">
        <v>13</v>
      </c>
      <c r="C15" s="1" t="n">
        <v>10</v>
      </c>
      <c r="D15" s="2" t="s">
        <v>39</v>
      </c>
      <c r="E15" s="2" t="s">
        <v>28</v>
      </c>
      <c r="F15" s="2" t="s">
        <v>11</v>
      </c>
    </row>
    <row r="16" customFormat="false" ht="16.4" hidden="false" customHeight="false" outlineLevel="0" collapsed="false">
      <c r="A16" s="3" t="n">
        <v>43617</v>
      </c>
      <c r="B16" s="2" t="s">
        <v>13</v>
      </c>
      <c r="C16" s="1" t="n">
        <v>1</v>
      </c>
      <c r="D16" s="2" t="s">
        <v>40</v>
      </c>
      <c r="E16" s="2" t="s">
        <v>28</v>
      </c>
      <c r="F16" s="2" t="s">
        <v>11</v>
      </c>
    </row>
    <row r="17" customFormat="false" ht="16.4" hidden="false" customHeight="false" outlineLevel="0" collapsed="false">
      <c r="A17" s="3" t="n">
        <v>43617</v>
      </c>
      <c r="B17" s="2" t="s">
        <v>13</v>
      </c>
      <c r="C17" s="1" t="n">
        <v>1</v>
      </c>
      <c r="D17" s="2" t="s">
        <v>41</v>
      </c>
      <c r="E17" s="2" t="s">
        <v>28</v>
      </c>
      <c r="F17" s="2" t="s">
        <v>11</v>
      </c>
    </row>
    <row r="18" customFormat="false" ht="16.4" hidden="false" customHeight="false" outlineLevel="0" collapsed="false">
      <c r="A18" s="3" t="n">
        <v>43617</v>
      </c>
      <c r="B18" s="2" t="s">
        <v>13</v>
      </c>
      <c r="C18" s="1" t="n">
        <v>1</v>
      </c>
      <c r="D18" s="2" t="s">
        <v>42</v>
      </c>
      <c r="E18" s="2" t="s">
        <v>28</v>
      </c>
      <c r="F18" s="2" t="s">
        <v>11</v>
      </c>
      <c r="H18" s="2" t="s">
        <v>43</v>
      </c>
    </row>
    <row r="19" customFormat="false" ht="16.4" hidden="false" customHeight="false" outlineLevel="0" collapsed="false">
      <c r="A19" s="3" t="n">
        <v>43617</v>
      </c>
      <c r="B19" s="2" t="s">
        <v>13</v>
      </c>
      <c r="C19" s="1" t="n">
        <v>3</v>
      </c>
      <c r="D19" s="2" t="s">
        <v>44</v>
      </c>
      <c r="E19" s="2" t="s">
        <v>28</v>
      </c>
      <c r="F19" s="2" t="s">
        <v>11</v>
      </c>
      <c r="H19" s="4" t="s">
        <v>45</v>
      </c>
    </row>
    <row r="20" customFormat="false" ht="16.4" hidden="false" customHeight="false" outlineLevel="0" collapsed="false">
      <c r="A20" s="3" t="n">
        <v>43647</v>
      </c>
      <c r="B20" s="2" t="s">
        <v>13</v>
      </c>
      <c r="C20" s="1" t="n">
        <v>1</v>
      </c>
      <c r="D20" s="2" t="s">
        <v>46</v>
      </c>
      <c r="E20" s="2" t="s">
        <v>28</v>
      </c>
      <c r="F20" s="2" t="s">
        <v>11</v>
      </c>
      <c r="H20" s="5" t="s">
        <v>47</v>
      </c>
    </row>
    <row r="21" customFormat="false" ht="16.4" hidden="false" customHeight="false" outlineLevel="0" collapsed="false">
      <c r="A21" s="3" t="n">
        <v>43647</v>
      </c>
      <c r="B21" s="2" t="s">
        <v>19</v>
      </c>
      <c r="C21" s="1" t="n">
        <v>22</v>
      </c>
      <c r="D21" s="2" t="s">
        <v>48</v>
      </c>
      <c r="E21" s="2" t="s">
        <v>49</v>
      </c>
      <c r="F21" s="2" t="s">
        <v>11</v>
      </c>
      <c r="H21" s="4" t="s">
        <v>50</v>
      </c>
    </row>
    <row r="22" customFormat="false" ht="16.4" hidden="false" customHeight="false" outlineLevel="0" collapsed="false">
      <c r="A22" s="3" t="n">
        <v>43678</v>
      </c>
      <c r="B22" s="2" t="s">
        <v>13</v>
      </c>
      <c r="C22" s="1" t="n">
        <v>1</v>
      </c>
      <c r="D22" s="2" t="s">
        <v>46</v>
      </c>
      <c r="E22" s="2" t="s">
        <v>28</v>
      </c>
      <c r="F22" s="2" t="s">
        <v>11</v>
      </c>
      <c r="H22" s="5" t="s">
        <v>51</v>
      </c>
    </row>
    <row r="23" customFormat="false" ht="16.4" hidden="false" customHeight="false" outlineLevel="0" collapsed="false">
      <c r="A23" s="3" t="n">
        <v>43678</v>
      </c>
      <c r="B23" s="2" t="s">
        <v>13</v>
      </c>
      <c r="C23" s="1" t="n">
        <v>4</v>
      </c>
      <c r="D23" s="2" t="s">
        <v>52</v>
      </c>
      <c r="E23" s="2" t="s">
        <v>28</v>
      </c>
      <c r="F23" s="2" t="s">
        <v>11</v>
      </c>
      <c r="H23" s="6" t="s">
        <v>53</v>
      </c>
    </row>
    <row r="24" customFormat="false" ht="16.4" hidden="false" customHeight="false" outlineLevel="0" collapsed="false">
      <c r="A24" s="3" t="n">
        <v>43678</v>
      </c>
      <c r="B24" s="2" t="s">
        <v>13</v>
      </c>
      <c r="C24" s="1" t="n">
        <v>1</v>
      </c>
      <c r="D24" s="2" t="s">
        <v>38</v>
      </c>
      <c r="E24" s="2" t="s">
        <v>28</v>
      </c>
      <c r="F24" s="2" t="s">
        <v>11</v>
      </c>
      <c r="H24" s="5"/>
    </row>
    <row r="25" customFormat="false" ht="16.4" hidden="false" customHeight="false" outlineLevel="0" collapsed="false">
      <c r="A25" s="3" t="n">
        <v>43678</v>
      </c>
      <c r="B25" s="2" t="s">
        <v>19</v>
      </c>
      <c r="C25" s="1" t="n">
        <v>6</v>
      </c>
      <c r="D25" s="2" t="s">
        <v>54</v>
      </c>
      <c r="E25" s="2" t="s">
        <v>49</v>
      </c>
      <c r="F25" s="2" t="s">
        <v>11</v>
      </c>
      <c r="H25" s="6"/>
    </row>
    <row r="26" customFormat="false" ht="16.4" hidden="false" customHeight="false" outlineLevel="0" collapsed="false">
      <c r="A26" s="3" t="n">
        <v>43709</v>
      </c>
      <c r="B26" s="2" t="s">
        <v>13</v>
      </c>
      <c r="C26" s="1" t="n">
        <v>1</v>
      </c>
      <c r="D26" s="2" t="s">
        <v>38</v>
      </c>
      <c r="E26" s="2" t="s">
        <v>28</v>
      </c>
      <c r="F26" s="2" t="s">
        <v>11</v>
      </c>
      <c r="H26" s="6"/>
    </row>
    <row r="27" customFormat="false" ht="16.4" hidden="false" customHeight="false" outlineLevel="0" collapsed="false">
      <c r="A27" s="3" t="n">
        <v>43709</v>
      </c>
      <c r="B27" s="2" t="s">
        <v>13</v>
      </c>
      <c r="C27" s="1" t="n">
        <v>1</v>
      </c>
      <c r="D27" s="2" t="s">
        <v>55</v>
      </c>
      <c r="E27" s="2" t="s">
        <v>28</v>
      </c>
      <c r="F27" s="2" t="s">
        <v>11</v>
      </c>
    </row>
    <row r="28" customFormat="false" ht="16.4" hidden="false" customHeight="false" outlineLevel="0" collapsed="false">
      <c r="A28" s="3" t="n">
        <v>43709</v>
      </c>
      <c r="B28" s="2" t="s">
        <v>13</v>
      </c>
      <c r="C28" s="1" t="n">
        <v>1</v>
      </c>
      <c r="D28" s="2" t="s">
        <v>56</v>
      </c>
      <c r="E28" s="2" t="s">
        <v>28</v>
      </c>
      <c r="F28" s="2" t="s">
        <v>11</v>
      </c>
    </row>
    <row r="29" customFormat="false" ht="16.4" hidden="false" customHeight="false" outlineLevel="0" collapsed="false">
      <c r="A29" s="3" t="n">
        <v>43739</v>
      </c>
      <c r="B29" s="2" t="s">
        <v>19</v>
      </c>
      <c r="C29" s="1" t="n">
        <v>2</v>
      </c>
      <c r="D29" s="2" t="s">
        <v>57</v>
      </c>
      <c r="E29" s="2" t="s">
        <v>49</v>
      </c>
      <c r="F29" s="2" t="s">
        <v>11</v>
      </c>
    </row>
    <row r="30" customFormat="false" ht="16.4" hidden="false" customHeight="false" outlineLevel="0" collapsed="false">
      <c r="A30" s="3" t="n">
        <v>43739</v>
      </c>
      <c r="B30" s="2" t="s">
        <v>19</v>
      </c>
      <c r="C30" s="1" t="n">
        <v>10</v>
      </c>
      <c r="D30" s="2" t="s">
        <v>58</v>
      </c>
      <c r="E30" s="2" t="s">
        <v>49</v>
      </c>
      <c r="F30" s="2" t="s">
        <v>11</v>
      </c>
    </row>
    <row r="31" customFormat="false" ht="16.4" hidden="false" customHeight="false" outlineLevel="0" collapsed="false">
      <c r="A31" s="3" t="n">
        <v>43739</v>
      </c>
      <c r="B31" s="2" t="s">
        <v>19</v>
      </c>
      <c r="C31" s="1" t="n">
        <v>6</v>
      </c>
      <c r="D31" s="2" t="s">
        <v>59</v>
      </c>
      <c r="E31" s="2" t="s">
        <v>49</v>
      </c>
      <c r="F31" s="2" t="s">
        <v>11</v>
      </c>
    </row>
    <row r="32" customFormat="false" ht="16.4" hidden="false" customHeight="false" outlineLevel="0" collapsed="false">
      <c r="A32" s="3" t="n">
        <v>43739</v>
      </c>
      <c r="B32" s="2" t="s">
        <v>19</v>
      </c>
      <c r="C32" s="1" t="n">
        <v>6</v>
      </c>
      <c r="D32" s="2" t="s">
        <v>60</v>
      </c>
      <c r="E32" s="2" t="s">
        <v>49</v>
      </c>
      <c r="F32" s="2" t="s">
        <v>11</v>
      </c>
    </row>
    <row r="33" customFormat="false" ht="16.4" hidden="false" customHeight="false" outlineLevel="0" collapsed="false">
      <c r="A33" s="3" t="n">
        <v>43739</v>
      </c>
      <c r="B33" s="2" t="s">
        <v>19</v>
      </c>
      <c r="C33" s="1" t="n">
        <v>7</v>
      </c>
      <c r="D33" s="2" t="s">
        <v>61</v>
      </c>
      <c r="E33" s="2" t="s">
        <v>49</v>
      </c>
      <c r="F33" s="2" t="s">
        <v>11</v>
      </c>
    </row>
    <row r="34" customFormat="false" ht="16.4" hidden="false" customHeight="false" outlineLevel="0" collapsed="false">
      <c r="A34" s="3" t="n">
        <v>43739</v>
      </c>
      <c r="B34" s="2" t="s">
        <v>19</v>
      </c>
      <c r="C34" s="1" t="n">
        <v>2</v>
      </c>
      <c r="D34" s="2" t="s">
        <v>62</v>
      </c>
      <c r="E34" s="2" t="s">
        <v>49</v>
      </c>
      <c r="F34" s="2" t="s">
        <v>11</v>
      </c>
    </row>
    <row r="35" customFormat="false" ht="16.4" hidden="false" customHeight="false" outlineLevel="0" collapsed="false">
      <c r="A35" s="3" t="n">
        <v>43739</v>
      </c>
      <c r="B35" s="2" t="s">
        <v>20</v>
      </c>
      <c r="C35" s="1" t="n">
        <v>1</v>
      </c>
      <c r="D35" s="2" t="s">
        <v>63</v>
      </c>
      <c r="E35" s="2" t="s">
        <v>64</v>
      </c>
      <c r="F35" s="2" t="s">
        <v>65</v>
      </c>
    </row>
    <row r="36" customFormat="false" ht="16.4" hidden="false" customHeight="false" outlineLevel="0" collapsed="false">
      <c r="A36" s="3" t="n">
        <v>43739</v>
      </c>
      <c r="B36" s="2" t="s">
        <v>20</v>
      </c>
      <c r="C36" s="1" t="n">
        <v>1</v>
      </c>
      <c r="D36" s="2" t="s">
        <v>66</v>
      </c>
      <c r="E36" s="2" t="s">
        <v>67</v>
      </c>
      <c r="F36" s="2" t="s">
        <v>11</v>
      </c>
    </row>
    <row r="37" customFormat="false" ht="16.4" hidden="false" customHeight="false" outlineLevel="0" collapsed="false">
      <c r="A37" s="3" t="n">
        <v>43739</v>
      </c>
      <c r="B37" s="2" t="s">
        <v>20</v>
      </c>
      <c r="C37" s="1" t="n">
        <v>1</v>
      </c>
      <c r="D37" s="2" t="s">
        <v>68</v>
      </c>
      <c r="E37" s="2" t="s">
        <v>69</v>
      </c>
      <c r="F37" s="2" t="s">
        <v>11</v>
      </c>
    </row>
    <row r="38" customFormat="false" ht="16.4" hidden="false" customHeight="false" outlineLevel="0" collapsed="false">
      <c r="A38" s="3" t="n">
        <v>43770</v>
      </c>
      <c r="B38" s="2" t="s">
        <v>19</v>
      </c>
      <c r="C38" s="1" t="n">
        <v>10</v>
      </c>
      <c r="D38" s="2" t="s">
        <v>70</v>
      </c>
      <c r="E38" s="2" t="s">
        <v>49</v>
      </c>
      <c r="F38" s="2" t="s">
        <v>11</v>
      </c>
    </row>
    <row r="39" customFormat="false" ht="16.4" hidden="false" customHeight="false" outlineLevel="0" collapsed="false">
      <c r="A39" s="3" t="n">
        <v>43770</v>
      </c>
      <c r="B39" s="2" t="s">
        <v>19</v>
      </c>
      <c r="C39" s="1" t="n">
        <v>1</v>
      </c>
      <c r="D39" s="2" t="s">
        <v>71</v>
      </c>
      <c r="E39" s="2" t="s">
        <v>49</v>
      </c>
      <c r="F39" s="2" t="s">
        <v>11</v>
      </c>
    </row>
    <row r="40" customFormat="false" ht="16.4" hidden="false" customHeight="false" outlineLevel="0" collapsed="false">
      <c r="A40" s="3" t="n">
        <v>43770</v>
      </c>
      <c r="B40" s="2" t="s">
        <v>20</v>
      </c>
      <c r="C40" s="1" t="n">
        <v>1</v>
      </c>
      <c r="D40" s="2" t="s">
        <v>72</v>
      </c>
      <c r="E40" s="2" t="s">
        <v>73</v>
      </c>
      <c r="F40" s="2" t="s">
        <v>11</v>
      </c>
    </row>
    <row r="41" customFormat="false" ht="16.4" hidden="false" customHeight="false" outlineLevel="0" collapsed="false">
      <c r="A41" s="3" t="n">
        <v>43800</v>
      </c>
      <c r="B41" s="2" t="s">
        <v>8</v>
      </c>
      <c r="C41" s="1" t="n">
        <v>1</v>
      </c>
      <c r="D41" s="2" t="s">
        <v>74</v>
      </c>
      <c r="E41" s="2" t="s">
        <v>75</v>
      </c>
      <c r="F41" s="2" t="s">
        <v>11</v>
      </c>
    </row>
    <row r="42" customFormat="false" ht="16.4" hidden="false" customHeight="false" outlineLevel="0" collapsed="false">
      <c r="A42" s="3" t="n">
        <v>43831</v>
      </c>
      <c r="B42" s="2" t="s">
        <v>8</v>
      </c>
      <c r="C42" s="1" t="n">
        <v>3</v>
      </c>
      <c r="D42" s="2" t="s">
        <v>76</v>
      </c>
      <c r="E42" s="2" t="s">
        <v>69</v>
      </c>
      <c r="F42" s="2" t="s">
        <v>11</v>
      </c>
    </row>
    <row r="43" customFormat="false" ht="16.4" hidden="false" customHeight="false" outlineLevel="0" collapsed="false">
      <c r="A43" s="3" t="n">
        <v>43831</v>
      </c>
      <c r="B43" s="2" t="s">
        <v>8</v>
      </c>
      <c r="C43" s="1" t="n">
        <v>1</v>
      </c>
      <c r="D43" s="2" t="s">
        <v>77</v>
      </c>
      <c r="E43" s="2" t="s">
        <v>78</v>
      </c>
      <c r="F43" s="2" t="s">
        <v>11</v>
      </c>
    </row>
    <row r="44" customFormat="false" ht="16.4" hidden="false" customHeight="false" outlineLevel="0" collapsed="false">
      <c r="A44" s="3" t="n">
        <v>43831</v>
      </c>
      <c r="B44" s="2" t="s">
        <v>8</v>
      </c>
      <c r="C44" s="1" t="n">
        <v>8</v>
      </c>
      <c r="D44" s="2" t="s">
        <v>79</v>
      </c>
      <c r="E44" s="2" t="s">
        <v>80</v>
      </c>
      <c r="F44" s="2" t="s">
        <v>11</v>
      </c>
    </row>
    <row r="45" customFormat="false" ht="16.4" hidden="false" customHeight="false" outlineLevel="0" collapsed="false">
      <c r="A45" s="3" t="n">
        <v>43831</v>
      </c>
      <c r="B45" s="2" t="s">
        <v>8</v>
      </c>
      <c r="C45" s="1" t="n">
        <v>3</v>
      </c>
      <c r="D45" s="2" t="s">
        <v>81</v>
      </c>
      <c r="E45" s="2" t="s">
        <v>80</v>
      </c>
      <c r="F45" s="2" t="s">
        <v>11</v>
      </c>
    </row>
    <row r="46" customFormat="false" ht="16.4" hidden="false" customHeight="false" outlineLevel="0" collapsed="false">
      <c r="A46" s="3" t="n">
        <v>43831</v>
      </c>
      <c r="B46" s="2" t="s">
        <v>8</v>
      </c>
      <c r="C46" s="1" t="n">
        <v>1</v>
      </c>
      <c r="D46" s="2" t="s">
        <v>82</v>
      </c>
      <c r="E46" s="2" t="s">
        <v>83</v>
      </c>
      <c r="F46" s="2" t="s">
        <v>11</v>
      </c>
    </row>
    <row r="47" customFormat="false" ht="16.4" hidden="false" customHeight="false" outlineLevel="0" collapsed="false">
      <c r="A47" s="3" t="n">
        <v>43862</v>
      </c>
      <c r="B47" s="2" t="s">
        <v>8</v>
      </c>
      <c r="C47" s="1" t="n">
        <v>30</v>
      </c>
      <c r="D47" s="2" t="s">
        <v>84</v>
      </c>
      <c r="E47" s="2" t="s">
        <v>85</v>
      </c>
      <c r="F47" s="2" t="s">
        <v>11</v>
      </c>
    </row>
    <row r="48" customFormat="false" ht="16.4" hidden="false" customHeight="false" outlineLevel="0" collapsed="false">
      <c r="A48" s="3" t="n">
        <v>43862</v>
      </c>
      <c r="B48" s="2" t="s">
        <v>8</v>
      </c>
      <c r="C48" s="1" t="n">
        <v>9</v>
      </c>
      <c r="D48" s="2" t="s">
        <v>86</v>
      </c>
      <c r="E48" s="2" t="s">
        <v>85</v>
      </c>
      <c r="F48" s="2" t="s">
        <v>11</v>
      </c>
    </row>
    <row r="49" customFormat="false" ht="16.4" hidden="false" customHeight="false" outlineLevel="0" collapsed="false">
      <c r="A49" s="3" t="n">
        <v>43862</v>
      </c>
      <c r="B49" s="2" t="s">
        <v>8</v>
      </c>
      <c r="C49" s="1" t="n">
        <v>2</v>
      </c>
      <c r="D49" s="2" t="s">
        <v>87</v>
      </c>
      <c r="E49" s="2" t="s">
        <v>85</v>
      </c>
      <c r="F49" s="2" t="s">
        <v>11</v>
      </c>
    </row>
    <row r="50" customFormat="false" ht="16.4" hidden="false" customHeight="false" outlineLevel="0" collapsed="false">
      <c r="A50" s="3" t="n">
        <v>43862</v>
      </c>
      <c r="B50" s="2" t="s">
        <v>8</v>
      </c>
      <c r="C50" s="1" t="n">
        <v>1</v>
      </c>
      <c r="D50" s="2" t="s">
        <v>88</v>
      </c>
      <c r="E50" s="2" t="s">
        <v>85</v>
      </c>
      <c r="F50" s="2" t="s">
        <v>11</v>
      </c>
    </row>
    <row r="51" customFormat="false" ht="16.4" hidden="false" customHeight="false" outlineLevel="0" collapsed="false">
      <c r="A51" s="3" t="n">
        <v>43862</v>
      </c>
      <c r="B51" s="2" t="s">
        <v>8</v>
      </c>
      <c r="C51" s="1" t="n">
        <v>1</v>
      </c>
      <c r="D51" s="2" t="s">
        <v>89</v>
      </c>
      <c r="E51" s="2" t="s">
        <v>90</v>
      </c>
      <c r="F51" s="2" t="s">
        <v>65</v>
      </c>
    </row>
    <row r="52" customFormat="false" ht="16.4" hidden="false" customHeight="false" outlineLevel="0" collapsed="false">
      <c r="A52" s="3" t="n">
        <v>43862</v>
      </c>
      <c r="B52" s="2" t="s">
        <v>8</v>
      </c>
      <c r="C52" s="1" t="n">
        <v>17</v>
      </c>
      <c r="D52" s="2" t="s">
        <v>91</v>
      </c>
      <c r="E52" s="2" t="s">
        <v>92</v>
      </c>
      <c r="F52" s="2" t="s">
        <v>11</v>
      </c>
    </row>
    <row r="53" customFormat="false" ht="16.4" hidden="false" customHeight="false" outlineLevel="0" collapsed="false">
      <c r="A53" s="3" t="n">
        <v>43862</v>
      </c>
      <c r="B53" s="2" t="s">
        <v>8</v>
      </c>
      <c r="C53" s="1" t="n">
        <v>3</v>
      </c>
      <c r="D53" s="2" t="s">
        <v>93</v>
      </c>
      <c r="E53" s="2" t="s">
        <v>80</v>
      </c>
      <c r="F53" s="2" t="s">
        <v>11</v>
      </c>
    </row>
    <row r="54" customFormat="false" ht="16.4" hidden="false" customHeight="false" outlineLevel="0" collapsed="false">
      <c r="A54" s="3" t="n">
        <v>43862</v>
      </c>
      <c r="B54" s="2" t="s">
        <v>8</v>
      </c>
      <c r="C54" s="1" t="n">
        <v>2</v>
      </c>
      <c r="D54" s="2" t="s">
        <v>94</v>
      </c>
      <c r="E54" s="2" t="s">
        <v>80</v>
      </c>
      <c r="F54" s="2" t="s">
        <v>11</v>
      </c>
    </row>
    <row r="55" customFormat="false" ht="16.4" hidden="false" customHeight="false" outlineLevel="0" collapsed="false">
      <c r="A55" s="3" t="n">
        <v>43862</v>
      </c>
      <c r="B55" s="2" t="s">
        <v>8</v>
      </c>
      <c r="C55" s="1" t="n">
        <v>1</v>
      </c>
      <c r="D55" s="2" t="s">
        <v>95</v>
      </c>
      <c r="E55" s="2" t="s">
        <v>85</v>
      </c>
      <c r="F55" s="2" t="s">
        <v>11</v>
      </c>
    </row>
    <row r="56" customFormat="false" ht="16.4" hidden="false" customHeight="false" outlineLevel="0" collapsed="false">
      <c r="A56" s="3" t="n">
        <v>43862</v>
      </c>
      <c r="B56" s="2" t="s">
        <v>19</v>
      </c>
      <c r="C56" s="1" t="n">
        <v>3</v>
      </c>
      <c r="D56" s="2" t="s">
        <v>61</v>
      </c>
      <c r="E56" s="2" t="s">
        <v>49</v>
      </c>
      <c r="F56" s="2" t="s">
        <v>11</v>
      </c>
    </row>
    <row r="57" customFormat="false" ht="16.4" hidden="false" customHeight="false" outlineLevel="0" collapsed="false">
      <c r="A57" s="3" t="n">
        <v>43862</v>
      </c>
      <c r="B57" s="2" t="s">
        <v>19</v>
      </c>
      <c r="C57" s="1" t="n">
        <v>1</v>
      </c>
      <c r="D57" s="2" t="s">
        <v>96</v>
      </c>
      <c r="E57" s="2" t="s">
        <v>49</v>
      </c>
      <c r="F57" s="2" t="s">
        <v>11</v>
      </c>
    </row>
    <row r="58" customFormat="false" ht="16.4" hidden="false" customHeight="false" outlineLevel="0" collapsed="false">
      <c r="A58" s="3" t="n">
        <v>43862</v>
      </c>
      <c r="B58" s="2" t="s">
        <v>19</v>
      </c>
      <c r="C58" s="1" t="n">
        <v>1</v>
      </c>
      <c r="D58" s="2" t="s">
        <v>97</v>
      </c>
      <c r="E58" s="2" t="s">
        <v>49</v>
      </c>
      <c r="F58" s="2" t="s">
        <v>11</v>
      </c>
    </row>
    <row r="59" customFormat="false" ht="16.4" hidden="false" customHeight="false" outlineLevel="0" collapsed="false">
      <c r="A59" s="3" t="n">
        <v>43862</v>
      </c>
      <c r="B59" s="2" t="s">
        <v>8</v>
      </c>
      <c r="C59" s="1" t="n">
        <v>2</v>
      </c>
      <c r="D59" s="2" t="s">
        <v>98</v>
      </c>
      <c r="E59" s="2" t="s">
        <v>99</v>
      </c>
      <c r="F59" s="2" t="s">
        <v>11</v>
      </c>
    </row>
    <row r="60" customFormat="false" ht="16.4" hidden="false" customHeight="false" outlineLevel="0" collapsed="false">
      <c r="A60" s="3" t="n">
        <v>43891</v>
      </c>
      <c r="B60" s="2" t="s">
        <v>19</v>
      </c>
      <c r="C60" s="1" t="n">
        <v>1</v>
      </c>
      <c r="D60" s="2" t="s">
        <v>100</v>
      </c>
      <c r="E60" s="2" t="s">
        <v>49</v>
      </c>
      <c r="F60" s="2" t="s">
        <v>11</v>
      </c>
    </row>
    <row r="61" customFormat="false" ht="16.4" hidden="false" customHeight="false" outlineLevel="0" collapsed="false">
      <c r="A61" s="3" t="n">
        <v>43891</v>
      </c>
      <c r="B61" s="2" t="s">
        <v>8</v>
      </c>
      <c r="C61" s="1" t="n">
        <v>12</v>
      </c>
      <c r="D61" s="2" t="s">
        <v>101</v>
      </c>
      <c r="E61" s="2" t="s">
        <v>78</v>
      </c>
      <c r="F61" s="2" t="s">
        <v>11</v>
      </c>
    </row>
    <row r="62" customFormat="false" ht="16.4" hidden="false" customHeight="false" outlineLevel="0" collapsed="false">
      <c r="A62" s="3" t="n">
        <v>43891</v>
      </c>
      <c r="B62" s="2" t="s">
        <v>8</v>
      </c>
      <c r="C62" s="1" t="n">
        <v>2</v>
      </c>
      <c r="D62" s="2" t="s">
        <v>102</v>
      </c>
      <c r="E62" s="2" t="s">
        <v>78</v>
      </c>
      <c r="F62" s="2" t="s">
        <v>11</v>
      </c>
    </row>
    <row r="63" customFormat="false" ht="16.4" hidden="false" customHeight="false" outlineLevel="0" collapsed="false">
      <c r="A63" s="3" t="n">
        <v>43891</v>
      </c>
      <c r="B63" s="2" t="s">
        <v>8</v>
      </c>
      <c r="C63" s="1" t="n">
        <v>1</v>
      </c>
      <c r="D63" s="2" t="s">
        <v>103</v>
      </c>
      <c r="E63" s="2" t="s">
        <v>78</v>
      </c>
      <c r="F63" s="2" t="s">
        <v>11</v>
      </c>
    </row>
    <row r="64" customFormat="false" ht="16.4" hidden="false" customHeight="false" outlineLevel="0" collapsed="false">
      <c r="A64" s="3" t="n">
        <v>43891</v>
      </c>
      <c r="B64" s="2" t="s">
        <v>8</v>
      </c>
      <c r="C64" s="1" t="n">
        <v>1</v>
      </c>
      <c r="D64" s="2" t="s">
        <v>104</v>
      </c>
      <c r="E64" s="2" t="s">
        <v>78</v>
      </c>
      <c r="F64" s="2" t="s">
        <v>11</v>
      </c>
    </row>
    <row r="65" customFormat="false" ht="16.4" hidden="false" customHeight="false" outlineLevel="0" collapsed="false">
      <c r="A65" s="3" t="n">
        <v>43891</v>
      </c>
      <c r="B65" s="2" t="s">
        <v>8</v>
      </c>
      <c r="C65" s="1" t="n">
        <v>1</v>
      </c>
      <c r="D65" s="2" t="s">
        <v>105</v>
      </c>
      <c r="E65" s="2" t="s">
        <v>78</v>
      </c>
      <c r="F65" s="2" t="s">
        <v>11</v>
      </c>
    </row>
    <row r="66" customFormat="false" ht="16.4" hidden="false" customHeight="false" outlineLevel="0" collapsed="false">
      <c r="A66" s="3" t="n">
        <v>43922</v>
      </c>
      <c r="B66" s="2" t="s">
        <v>13</v>
      </c>
      <c r="C66" s="1" t="n">
        <v>5</v>
      </c>
      <c r="D66" s="2" t="s">
        <v>106</v>
      </c>
      <c r="E66" s="2" t="s">
        <v>28</v>
      </c>
      <c r="F66" s="2" t="s">
        <v>11</v>
      </c>
    </row>
    <row r="67" customFormat="false" ht="16.4" hidden="false" customHeight="false" outlineLevel="0" collapsed="false">
      <c r="A67" s="3" t="n">
        <v>43922</v>
      </c>
      <c r="B67" s="2" t="s">
        <v>8</v>
      </c>
      <c r="C67" s="1" t="n">
        <v>1</v>
      </c>
      <c r="D67" s="2" t="s">
        <v>107</v>
      </c>
      <c r="E67" s="2" t="s">
        <v>108</v>
      </c>
      <c r="F67" s="2" t="s">
        <v>11</v>
      </c>
    </row>
    <row r="68" customFormat="false" ht="16.4" hidden="false" customHeight="false" outlineLevel="0" collapsed="false">
      <c r="A68" s="3" t="n">
        <v>43922</v>
      </c>
      <c r="B68" s="2" t="s">
        <v>8</v>
      </c>
      <c r="C68" s="1" t="n">
        <v>1</v>
      </c>
      <c r="D68" s="2" t="s">
        <v>109</v>
      </c>
      <c r="E68" s="2" t="s">
        <v>99</v>
      </c>
      <c r="F68" s="2" t="s">
        <v>11</v>
      </c>
    </row>
    <row r="69" customFormat="false" ht="16.4" hidden="false" customHeight="false" outlineLevel="0" collapsed="false">
      <c r="A69" s="3" t="n">
        <v>43922</v>
      </c>
      <c r="B69" s="2" t="s">
        <v>8</v>
      </c>
      <c r="C69" s="1" t="n">
        <v>1</v>
      </c>
      <c r="D69" s="2" t="s">
        <v>110</v>
      </c>
      <c r="E69" s="2" t="s">
        <v>99</v>
      </c>
      <c r="F69" s="2" t="s">
        <v>11</v>
      </c>
    </row>
    <row r="70" customFormat="false" ht="16.4" hidden="false" customHeight="false" outlineLevel="0" collapsed="false">
      <c r="A70" s="3" t="n">
        <v>43922</v>
      </c>
      <c r="B70" s="2" t="s">
        <v>8</v>
      </c>
      <c r="C70" s="1" t="n">
        <v>5</v>
      </c>
      <c r="D70" s="2" t="s">
        <v>111</v>
      </c>
      <c r="E70" s="2" t="s">
        <v>85</v>
      </c>
      <c r="F70" s="2" t="s">
        <v>11</v>
      </c>
    </row>
    <row r="71" customFormat="false" ht="16.4" hidden="false" customHeight="false" outlineLevel="0" collapsed="false">
      <c r="A71" s="3" t="n">
        <v>43952</v>
      </c>
      <c r="B71" s="2" t="s">
        <v>8</v>
      </c>
      <c r="C71" s="1" t="n">
        <v>10</v>
      </c>
      <c r="D71" s="2" t="s">
        <v>84</v>
      </c>
      <c r="E71" s="2" t="s">
        <v>85</v>
      </c>
      <c r="F71" s="2" t="s">
        <v>11</v>
      </c>
    </row>
    <row r="72" customFormat="false" ht="16.4" hidden="false" customHeight="false" outlineLevel="0" collapsed="false">
      <c r="A72" s="3" t="n">
        <v>43952</v>
      </c>
      <c r="B72" s="2" t="s">
        <v>8</v>
      </c>
      <c r="C72" s="1" t="n">
        <v>8</v>
      </c>
      <c r="D72" s="2" t="s">
        <v>86</v>
      </c>
      <c r="E72" s="2" t="s">
        <v>85</v>
      </c>
      <c r="F72" s="2" t="s">
        <v>11</v>
      </c>
    </row>
    <row r="73" customFormat="false" ht="16.4" hidden="false" customHeight="false" outlineLevel="0" collapsed="false">
      <c r="A73" s="3" t="n">
        <v>43952</v>
      </c>
      <c r="B73" s="2" t="s">
        <v>8</v>
      </c>
      <c r="C73" s="1" t="n">
        <v>1</v>
      </c>
      <c r="D73" s="2" t="s">
        <v>88</v>
      </c>
      <c r="E73" s="2" t="s">
        <v>85</v>
      </c>
      <c r="F73" s="2" t="s">
        <v>11</v>
      </c>
    </row>
    <row r="74" customFormat="false" ht="16.4" hidden="false" customHeight="false" outlineLevel="0" collapsed="false">
      <c r="A74" s="3" t="n">
        <v>43952</v>
      </c>
      <c r="B74" s="2" t="s">
        <v>29</v>
      </c>
      <c r="C74" s="1" t="n">
        <v>1</v>
      </c>
      <c r="D74" s="2" t="s">
        <v>112</v>
      </c>
      <c r="E74" s="2" t="s">
        <v>31</v>
      </c>
      <c r="F74" s="2" t="s">
        <v>11</v>
      </c>
    </row>
    <row r="75" customFormat="false" ht="16.4" hidden="false" customHeight="false" outlineLevel="0" collapsed="false">
      <c r="A75" s="3" t="n">
        <v>43952</v>
      </c>
      <c r="B75" s="2" t="s">
        <v>8</v>
      </c>
      <c r="C75" s="1" t="n">
        <v>1</v>
      </c>
      <c r="D75" s="2" t="s">
        <v>113</v>
      </c>
      <c r="E75" s="2" t="s">
        <v>85</v>
      </c>
      <c r="F75" s="2" t="s">
        <v>11</v>
      </c>
    </row>
    <row r="76" customFormat="false" ht="16.4" hidden="false" customHeight="false" outlineLevel="0" collapsed="false">
      <c r="A76" s="3" t="n">
        <v>43952</v>
      </c>
      <c r="B76" s="2" t="s">
        <v>8</v>
      </c>
      <c r="C76" s="1" t="n">
        <v>1</v>
      </c>
      <c r="D76" s="2" t="s">
        <v>87</v>
      </c>
      <c r="E76" s="2" t="s">
        <v>85</v>
      </c>
      <c r="F76" s="2" t="s">
        <v>11</v>
      </c>
    </row>
    <row r="77" customFormat="false" ht="16.4" hidden="false" customHeight="false" outlineLevel="0" collapsed="false">
      <c r="A77" s="3" t="n">
        <v>43983</v>
      </c>
      <c r="B77" s="2" t="s">
        <v>8</v>
      </c>
      <c r="C77" s="1" t="n">
        <v>7</v>
      </c>
      <c r="D77" s="2" t="s">
        <v>114</v>
      </c>
      <c r="E77" s="2" t="s">
        <v>115</v>
      </c>
      <c r="F77" s="2" t="s">
        <v>11</v>
      </c>
    </row>
    <row r="78" customFormat="false" ht="16.4" hidden="false" customHeight="false" outlineLevel="0" collapsed="false">
      <c r="A78" s="3" t="n">
        <v>43983</v>
      </c>
      <c r="B78" s="2" t="s">
        <v>8</v>
      </c>
      <c r="C78" s="1" t="n">
        <v>1</v>
      </c>
      <c r="D78" s="2" t="s">
        <v>116</v>
      </c>
      <c r="E78" s="2" t="s">
        <v>117</v>
      </c>
      <c r="F78" s="2" t="s">
        <v>11</v>
      </c>
    </row>
    <row r="79" customFormat="false" ht="16.4" hidden="false" customHeight="false" outlineLevel="0" collapsed="false">
      <c r="A79" s="3" t="n">
        <v>43983</v>
      </c>
      <c r="B79" s="2" t="s">
        <v>8</v>
      </c>
      <c r="C79" s="1" t="n">
        <v>3</v>
      </c>
      <c r="D79" s="2" t="s">
        <v>118</v>
      </c>
      <c r="E79" s="2" t="s">
        <v>117</v>
      </c>
      <c r="F79" s="2" t="s">
        <v>11</v>
      </c>
    </row>
    <row r="80" customFormat="false" ht="16.4" hidden="false" customHeight="false" outlineLevel="0" collapsed="false">
      <c r="A80" s="3" t="n">
        <v>43983</v>
      </c>
      <c r="B80" s="2" t="s">
        <v>8</v>
      </c>
      <c r="C80" s="1" t="n">
        <v>2</v>
      </c>
      <c r="D80" s="2" t="s">
        <v>119</v>
      </c>
      <c r="E80" s="2" t="s">
        <v>117</v>
      </c>
      <c r="F80" s="2" t="s">
        <v>11</v>
      </c>
    </row>
    <row r="81" customFormat="false" ht="16.4" hidden="false" customHeight="false" outlineLevel="0" collapsed="false">
      <c r="A81" s="3" t="n">
        <v>43983</v>
      </c>
      <c r="B81" s="2" t="s">
        <v>8</v>
      </c>
      <c r="C81" s="1" t="n">
        <v>1</v>
      </c>
      <c r="D81" s="2" t="s">
        <v>120</v>
      </c>
      <c r="E81" s="2" t="s">
        <v>117</v>
      </c>
      <c r="F81" s="2" t="s">
        <v>11</v>
      </c>
    </row>
    <row r="82" customFormat="false" ht="16.4" hidden="false" customHeight="false" outlineLevel="0" collapsed="false">
      <c r="A82" s="3" t="n">
        <v>43983</v>
      </c>
      <c r="B82" s="2" t="s">
        <v>16</v>
      </c>
      <c r="C82" s="1" t="n">
        <v>5</v>
      </c>
      <c r="D82" s="2" t="s">
        <v>121</v>
      </c>
      <c r="E82" s="2" t="s">
        <v>122</v>
      </c>
      <c r="F82" s="2" t="s">
        <v>11</v>
      </c>
    </row>
    <row r="83" customFormat="false" ht="14.25" hidden="false" customHeight="false" outlineLevel="0" collapsed="false">
      <c r="A83" s="3" t="n">
        <v>44013</v>
      </c>
      <c r="B83" s="2"/>
      <c r="C83" s="1" t="n">
        <v>0</v>
      </c>
    </row>
    <row r="84" customFormat="false" ht="16.4" hidden="false" customHeight="false" outlineLevel="0" collapsed="false">
      <c r="A84" s="3" t="n">
        <v>44044</v>
      </c>
      <c r="B84" s="2" t="s">
        <v>8</v>
      </c>
      <c r="C84" s="1" t="n">
        <v>1</v>
      </c>
      <c r="D84" s="2" t="s">
        <v>123</v>
      </c>
      <c r="E84" s="2" t="s">
        <v>75</v>
      </c>
      <c r="F84" s="2" t="s">
        <v>11</v>
      </c>
    </row>
    <row r="85" customFormat="false" ht="16.4" hidden="false" customHeight="false" outlineLevel="0" collapsed="false">
      <c r="A85" s="3" t="n">
        <v>44044</v>
      </c>
      <c r="B85" s="2" t="s">
        <v>8</v>
      </c>
      <c r="C85" s="1" t="n">
        <v>2</v>
      </c>
      <c r="D85" s="2" t="s">
        <v>124</v>
      </c>
      <c r="E85" s="2" t="s">
        <v>85</v>
      </c>
      <c r="F85" s="2" t="s">
        <v>11</v>
      </c>
    </row>
    <row r="86" customFormat="false" ht="16.4" hidden="false" customHeight="false" outlineLevel="0" collapsed="false">
      <c r="A86" s="3" t="n">
        <v>44044</v>
      </c>
      <c r="B86" s="2" t="s">
        <v>8</v>
      </c>
      <c r="C86" s="1" t="n">
        <v>3</v>
      </c>
      <c r="D86" s="2" t="s">
        <v>125</v>
      </c>
      <c r="E86" s="2" t="s">
        <v>78</v>
      </c>
      <c r="F86" s="2" t="s">
        <v>11</v>
      </c>
    </row>
    <row r="87" customFormat="false" ht="16.4" hidden="false" customHeight="false" outlineLevel="0" collapsed="false">
      <c r="A87" s="3" t="n">
        <v>44044</v>
      </c>
      <c r="B87" s="2" t="s">
        <v>8</v>
      </c>
      <c r="C87" s="1" t="n">
        <v>1</v>
      </c>
      <c r="D87" s="2" t="s">
        <v>126</v>
      </c>
      <c r="E87" s="2" t="s">
        <v>78</v>
      </c>
      <c r="F87" s="2" t="s">
        <v>11</v>
      </c>
    </row>
    <row r="88" customFormat="false" ht="16.4" hidden="false" customHeight="false" outlineLevel="0" collapsed="false">
      <c r="A88" s="3" t="n">
        <v>44044</v>
      </c>
      <c r="B88" s="2" t="s">
        <v>8</v>
      </c>
      <c r="C88" s="1" t="n">
        <v>1</v>
      </c>
      <c r="D88" s="2" t="s">
        <v>127</v>
      </c>
      <c r="E88" s="2" t="s">
        <v>78</v>
      </c>
      <c r="F88" s="2" t="s">
        <v>11</v>
      </c>
    </row>
    <row r="89" customFormat="false" ht="16.4" hidden="false" customHeight="false" outlineLevel="0" collapsed="false">
      <c r="A89" s="3" t="n">
        <v>44044</v>
      </c>
      <c r="B89" s="2" t="s">
        <v>8</v>
      </c>
      <c r="C89" s="1" t="n">
        <v>1</v>
      </c>
      <c r="D89" s="2" t="s">
        <v>128</v>
      </c>
      <c r="E89" s="2" t="s">
        <v>78</v>
      </c>
      <c r="F89" s="2" t="s">
        <v>11</v>
      </c>
    </row>
    <row r="90" customFormat="false" ht="16.4" hidden="false" customHeight="false" outlineLevel="0" collapsed="false">
      <c r="A90" s="3" t="n">
        <v>44044</v>
      </c>
      <c r="B90" s="2" t="s">
        <v>8</v>
      </c>
      <c r="C90" s="1" t="n">
        <v>1</v>
      </c>
      <c r="D90" s="2" t="s">
        <v>129</v>
      </c>
      <c r="E90" s="2" t="s">
        <v>78</v>
      </c>
      <c r="F90" s="2" t="s">
        <v>11</v>
      </c>
    </row>
    <row r="91" customFormat="false" ht="16.4" hidden="false" customHeight="false" outlineLevel="0" collapsed="false">
      <c r="A91" s="3" t="n">
        <v>44075</v>
      </c>
      <c r="B91" s="2" t="s">
        <v>8</v>
      </c>
      <c r="C91" s="1" t="n">
        <v>3</v>
      </c>
      <c r="D91" s="2" t="s">
        <v>130</v>
      </c>
      <c r="E91" s="2" t="s">
        <v>117</v>
      </c>
      <c r="F91" s="2" t="s">
        <v>11</v>
      </c>
    </row>
    <row r="92" customFormat="false" ht="16.4" hidden="false" customHeight="false" outlineLevel="0" collapsed="false">
      <c r="A92" s="3" t="n">
        <v>44075</v>
      </c>
      <c r="B92" s="2" t="s">
        <v>8</v>
      </c>
      <c r="C92" s="1" t="n">
        <v>3</v>
      </c>
      <c r="D92" s="2" t="s">
        <v>131</v>
      </c>
      <c r="E92" s="2" t="s">
        <v>117</v>
      </c>
      <c r="F92" s="2" t="s">
        <v>11</v>
      </c>
    </row>
    <row r="93" customFormat="false" ht="16.4" hidden="false" customHeight="false" outlineLevel="0" collapsed="false">
      <c r="A93" s="3" t="n">
        <v>44075</v>
      </c>
      <c r="B93" s="2" t="s">
        <v>8</v>
      </c>
      <c r="C93" s="1" t="n">
        <v>1</v>
      </c>
      <c r="D93" s="2" t="s">
        <v>132</v>
      </c>
      <c r="E93" s="2" t="s">
        <v>117</v>
      </c>
      <c r="F93" s="2" t="s">
        <v>11</v>
      </c>
    </row>
    <row r="94" customFormat="false" ht="16.4" hidden="false" customHeight="false" outlineLevel="0" collapsed="false">
      <c r="A94" s="3" t="n">
        <v>44075</v>
      </c>
      <c r="B94" s="2" t="s">
        <v>8</v>
      </c>
      <c r="C94" s="1" t="n">
        <v>1</v>
      </c>
      <c r="D94" s="2" t="s">
        <v>133</v>
      </c>
      <c r="E94" s="2" t="s">
        <v>117</v>
      </c>
      <c r="F94" s="2" t="s">
        <v>11</v>
      </c>
    </row>
    <row r="95" customFormat="false" ht="16.4" hidden="false" customHeight="false" outlineLevel="0" collapsed="false">
      <c r="A95" s="3" t="n">
        <v>44075</v>
      </c>
      <c r="B95" s="2" t="s">
        <v>8</v>
      </c>
      <c r="C95" s="1" t="n">
        <v>1</v>
      </c>
      <c r="D95" s="2" t="s">
        <v>134</v>
      </c>
      <c r="E95" s="2" t="s">
        <v>117</v>
      </c>
      <c r="F95" s="2" t="s">
        <v>11</v>
      </c>
    </row>
    <row r="96" customFormat="false" ht="16.4" hidden="false" customHeight="false" outlineLevel="0" collapsed="false">
      <c r="A96" s="3" t="n">
        <v>44075</v>
      </c>
      <c r="B96" s="2" t="s">
        <v>8</v>
      </c>
      <c r="C96" s="1" t="n">
        <v>1</v>
      </c>
      <c r="D96" s="2" t="s">
        <v>135</v>
      </c>
      <c r="E96" s="2" t="s">
        <v>117</v>
      </c>
      <c r="F96" s="2" t="s">
        <v>11</v>
      </c>
    </row>
    <row r="97" customFormat="false" ht="16.4" hidden="false" customHeight="false" outlineLevel="0" collapsed="false">
      <c r="A97" s="3" t="n">
        <v>44075</v>
      </c>
      <c r="B97" s="2" t="s">
        <v>8</v>
      </c>
      <c r="C97" s="1" t="n">
        <v>5</v>
      </c>
      <c r="D97" s="2" t="s">
        <v>136</v>
      </c>
      <c r="E97" s="2" t="s">
        <v>117</v>
      </c>
      <c r="F97" s="2" t="s">
        <v>11</v>
      </c>
    </row>
    <row r="98" customFormat="false" ht="16.4" hidden="false" customHeight="false" outlineLevel="0" collapsed="false">
      <c r="A98" s="3" t="n">
        <v>44075</v>
      </c>
      <c r="B98" s="2" t="s">
        <v>8</v>
      </c>
      <c r="C98" s="1" t="n">
        <v>5</v>
      </c>
      <c r="D98" s="2" t="s">
        <v>137</v>
      </c>
      <c r="E98" s="2" t="s">
        <v>117</v>
      </c>
      <c r="F98" s="2" t="s">
        <v>11</v>
      </c>
    </row>
    <row r="99" customFormat="false" ht="16.4" hidden="false" customHeight="false" outlineLevel="0" collapsed="false">
      <c r="A99" s="3" t="n">
        <v>44075</v>
      </c>
      <c r="B99" s="2" t="s">
        <v>8</v>
      </c>
      <c r="C99" s="1" t="n">
        <v>1</v>
      </c>
      <c r="D99" s="2" t="s">
        <v>138</v>
      </c>
      <c r="E99" s="2" t="s">
        <v>117</v>
      </c>
      <c r="F99" s="2" t="s">
        <v>11</v>
      </c>
    </row>
    <row r="100" customFormat="false" ht="16.4" hidden="false" customHeight="false" outlineLevel="0" collapsed="false">
      <c r="A100" s="3" t="n">
        <v>44075</v>
      </c>
      <c r="B100" s="2" t="s">
        <v>8</v>
      </c>
      <c r="C100" s="1" t="n">
        <v>1</v>
      </c>
      <c r="D100" s="2" t="s">
        <v>139</v>
      </c>
      <c r="E100" s="2" t="s">
        <v>140</v>
      </c>
      <c r="F100" s="2" t="s">
        <v>11</v>
      </c>
    </row>
    <row r="101" customFormat="false" ht="16.4" hidden="false" customHeight="false" outlineLevel="0" collapsed="false">
      <c r="A101" s="3" t="n">
        <v>44075</v>
      </c>
      <c r="B101" s="2" t="s">
        <v>8</v>
      </c>
      <c r="C101" s="1" t="n">
        <v>1</v>
      </c>
      <c r="D101" s="2" t="s">
        <v>141</v>
      </c>
      <c r="E101" s="2" t="s">
        <v>69</v>
      </c>
      <c r="F101" s="2" t="s">
        <v>11</v>
      </c>
    </row>
    <row r="102" customFormat="false" ht="16.4" hidden="false" customHeight="false" outlineLevel="0" collapsed="false">
      <c r="A102" s="3" t="n">
        <v>44075</v>
      </c>
      <c r="B102" s="2" t="s">
        <v>8</v>
      </c>
      <c r="C102" s="1" t="n">
        <v>1</v>
      </c>
      <c r="D102" s="2" t="s">
        <v>142</v>
      </c>
      <c r="E102" s="2" t="s">
        <v>99</v>
      </c>
      <c r="F102" s="2" t="s">
        <v>11</v>
      </c>
    </row>
    <row r="103" customFormat="false" ht="14.25" hidden="false" customHeight="false" outlineLevel="0" collapsed="false">
      <c r="A103" s="3" t="n">
        <v>44105</v>
      </c>
      <c r="B103" s="2"/>
      <c r="C103" s="1" t="n">
        <v>0</v>
      </c>
    </row>
    <row r="104" customFormat="false" ht="14.25" hidden="false" customHeight="false" outlineLevel="0" collapsed="false">
      <c r="A104" s="3" t="n">
        <v>44136</v>
      </c>
      <c r="B104" s="2"/>
      <c r="C104" s="1" t="n">
        <v>0</v>
      </c>
    </row>
    <row r="105" customFormat="false" ht="14.25" hidden="false" customHeight="false" outlineLevel="0" collapsed="false">
      <c r="A105" s="3" t="n">
        <v>44166</v>
      </c>
      <c r="B105" s="2"/>
      <c r="C105" s="1" t="n">
        <v>0</v>
      </c>
    </row>
    <row r="106" customFormat="false" ht="14.25" hidden="false" customHeight="false" outlineLevel="0" collapsed="false">
      <c r="A106" s="3" t="n">
        <v>44197</v>
      </c>
      <c r="B106" s="2"/>
      <c r="C106" s="1" t="n">
        <v>0</v>
      </c>
    </row>
    <row r="107" customFormat="false" ht="14.25" hidden="false" customHeight="false" outlineLevel="0" collapsed="false">
      <c r="A107" s="3" t="n">
        <v>44228</v>
      </c>
      <c r="B107" s="2"/>
      <c r="C107" s="1" t="n">
        <v>0</v>
      </c>
    </row>
    <row r="108" customFormat="false" ht="16.4" hidden="false" customHeight="false" outlineLevel="0" collapsed="false">
      <c r="A108" s="3" t="n">
        <v>44256</v>
      </c>
      <c r="B108" s="2" t="s">
        <v>29</v>
      </c>
      <c r="C108" s="1" t="n">
        <v>1</v>
      </c>
      <c r="D108" s="2" t="s">
        <v>143</v>
      </c>
      <c r="E108" s="2" t="s">
        <v>31</v>
      </c>
      <c r="F108" s="2" t="s">
        <v>11</v>
      </c>
    </row>
    <row r="109" customFormat="false" ht="16.4" hidden="false" customHeight="false" outlineLevel="0" collapsed="false">
      <c r="A109" s="3" t="n">
        <v>44287</v>
      </c>
      <c r="B109" s="2" t="s">
        <v>19</v>
      </c>
      <c r="C109" s="1" t="n">
        <v>1</v>
      </c>
      <c r="D109" s="2" t="s">
        <v>144</v>
      </c>
      <c r="E109" s="2" t="s">
        <v>49</v>
      </c>
      <c r="F109" s="2" t="s">
        <v>11</v>
      </c>
    </row>
    <row r="110" customFormat="false" ht="16.4" hidden="false" customHeight="false" outlineLevel="0" collapsed="false">
      <c r="A110" s="3" t="n">
        <v>44287</v>
      </c>
      <c r="B110" s="2" t="s">
        <v>13</v>
      </c>
      <c r="C110" s="1" t="n">
        <v>5</v>
      </c>
      <c r="D110" s="2" t="s">
        <v>36</v>
      </c>
      <c r="E110" s="2" t="s">
        <v>28</v>
      </c>
      <c r="F110" s="2" t="s">
        <v>11</v>
      </c>
    </row>
    <row r="111" customFormat="false" ht="16.4" hidden="false" customHeight="false" outlineLevel="0" collapsed="false">
      <c r="A111" s="3" t="n">
        <v>44287</v>
      </c>
      <c r="B111" s="2" t="s">
        <v>13</v>
      </c>
      <c r="C111" s="1" t="n">
        <v>10</v>
      </c>
      <c r="D111" s="2" t="s">
        <v>145</v>
      </c>
      <c r="E111" s="2" t="s">
        <v>28</v>
      </c>
      <c r="F111" s="2" t="s">
        <v>11</v>
      </c>
    </row>
    <row r="112" customFormat="false" ht="16.4" hidden="false" customHeight="false" outlineLevel="0" collapsed="false">
      <c r="A112" s="3" t="n">
        <v>44317</v>
      </c>
      <c r="B112" s="2" t="s">
        <v>16</v>
      </c>
      <c r="C112" s="1" t="n">
        <v>5</v>
      </c>
      <c r="D112" s="2" t="s">
        <v>121</v>
      </c>
      <c r="E112" s="2" t="s">
        <v>122</v>
      </c>
      <c r="F112" s="2" t="s">
        <v>11</v>
      </c>
    </row>
    <row r="113" customFormat="false" ht="16.4" hidden="false" customHeight="false" outlineLevel="0" collapsed="false">
      <c r="A113" s="3" t="n">
        <v>44317</v>
      </c>
      <c r="B113" s="2" t="s">
        <v>20</v>
      </c>
      <c r="C113" s="1" t="n">
        <v>1</v>
      </c>
      <c r="D113" s="2" t="s">
        <v>146</v>
      </c>
      <c r="E113" s="2" t="s">
        <v>69</v>
      </c>
      <c r="F113" s="2" t="s">
        <v>11</v>
      </c>
    </row>
    <row r="114" customFormat="false" ht="16.4" hidden="false" customHeight="false" outlineLevel="0" collapsed="false">
      <c r="A114" s="3" t="n">
        <v>44317</v>
      </c>
      <c r="B114" s="2" t="s">
        <v>33</v>
      </c>
      <c r="C114" s="1" t="n">
        <v>1</v>
      </c>
      <c r="D114" s="2" t="s">
        <v>147</v>
      </c>
      <c r="E114" s="2" t="s">
        <v>148</v>
      </c>
      <c r="F114" s="2" t="s">
        <v>65</v>
      </c>
    </row>
    <row r="115" customFormat="false" ht="14.25" hidden="false" customHeight="false" outlineLevel="0" collapsed="false">
      <c r="A115" s="3" t="n">
        <v>44348</v>
      </c>
      <c r="B115" s="2"/>
      <c r="C115" s="1" t="n">
        <v>0</v>
      </c>
    </row>
    <row r="116" customFormat="false" ht="14.25" hidden="false" customHeight="false" outlineLevel="0" collapsed="false">
      <c r="A116" s="3" t="n">
        <v>44378</v>
      </c>
      <c r="B116" s="2"/>
      <c r="C116" s="1" t="n">
        <v>0</v>
      </c>
    </row>
    <row r="117" customFormat="false" ht="16.4" hidden="false" customHeight="false" outlineLevel="0" collapsed="false">
      <c r="A117" s="3" t="n">
        <v>44409</v>
      </c>
      <c r="B117" s="2" t="s">
        <v>33</v>
      </c>
      <c r="C117" s="1" t="n">
        <v>1</v>
      </c>
      <c r="D117" s="2" t="s">
        <v>149</v>
      </c>
      <c r="E117" s="2" t="s">
        <v>148</v>
      </c>
      <c r="F117" s="2" t="s">
        <v>65</v>
      </c>
    </row>
    <row r="118" customFormat="false" ht="16.4" hidden="false" customHeight="false" outlineLevel="0" collapsed="false">
      <c r="A118" s="3" t="n">
        <v>44409</v>
      </c>
      <c r="B118" s="2" t="s">
        <v>33</v>
      </c>
      <c r="C118" s="1" t="n">
        <v>1</v>
      </c>
      <c r="D118" s="2" t="s">
        <v>150</v>
      </c>
      <c r="E118" s="2" t="s">
        <v>148</v>
      </c>
      <c r="F118" s="2" t="s">
        <v>65</v>
      </c>
    </row>
    <row r="119" customFormat="false" ht="16.4" hidden="false" customHeight="false" outlineLevel="0" collapsed="false">
      <c r="A119" s="3" t="n">
        <v>44409</v>
      </c>
      <c r="B119" s="2" t="s">
        <v>33</v>
      </c>
      <c r="C119" s="1" t="n">
        <v>4</v>
      </c>
      <c r="D119" s="2" t="s">
        <v>151</v>
      </c>
      <c r="E119" s="2" t="s">
        <v>148</v>
      </c>
      <c r="F119" s="2" t="s">
        <v>65</v>
      </c>
    </row>
    <row r="120" customFormat="false" ht="16.4" hidden="false" customHeight="false" outlineLevel="0" collapsed="false">
      <c r="A120" s="3" t="n">
        <v>44409</v>
      </c>
      <c r="B120" s="2" t="s">
        <v>33</v>
      </c>
      <c r="C120" s="1" t="n">
        <v>1</v>
      </c>
      <c r="D120" s="2" t="s">
        <v>152</v>
      </c>
      <c r="E120" s="2" t="s">
        <v>148</v>
      </c>
      <c r="F120" s="2" t="s">
        <v>65</v>
      </c>
    </row>
    <row r="121" customFormat="false" ht="16.4" hidden="false" customHeight="false" outlineLevel="0" collapsed="false">
      <c r="A121" s="3" t="n">
        <v>44409</v>
      </c>
      <c r="B121" s="2" t="s">
        <v>33</v>
      </c>
      <c r="C121" s="1" t="n">
        <v>2</v>
      </c>
      <c r="D121" s="2" t="s">
        <v>153</v>
      </c>
      <c r="E121" s="2" t="s">
        <v>148</v>
      </c>
      <c r="F121" s="2" t="s">
        <v>65</v>
      </c>
    </row>
    <row r="122" customFormat="false" ht="16.4" hidden="false" customHeight="false" outlineLevel="0" collapsed="false">
      <c r="A122" s="3" t="n">
        <v>44409</v>
      </c>
      <c r="B122" s="2" t="s">
        <v>16</v>
      </c>
      <c r="C122" s="1" t="n">
        <v>1</v>
      </c>
      <c r="D122" s="2" t="s">
        <v>154</v>
      </c>
      <c r="E122" s="2" t="s">
        <v>122</v>
      </c>
      <c r="F122" s="2" t="s">
        <v>11</v>
      </c>
    </row>
    <row r="123" customFormat="false" ht="16.4" hidden="false" customHeight="false" outlineLevel="0" collapsed="false">
      <c r="A123" s="3" t="n">
        <v>44440</v>
      </c>
      <c r="B123" s="2" t="s">
        <v>16</v>
      </c>
      <c r="C123" s="1" t="n">
        <v>1</v>
      </c>
      <c r="D123" s="2" t="s">
        <v>155</v>
      </c>
      <c r="E123" s="2" t="s">
        <v>122</v>
      </c>
      <c r="F123" s="2" t="s">
        <v>11</v>
      </c>
    </row>
    <row r="124" customFormat="false" ht="14.25" hidden="false" customHeight="false" outlineLevel="0" collapsed="false">
      <c r="A124" s="3" t="n">
        <v>44470</v>
      </c>
      <c r="B124" s="2"/>
      <c r="C124" s="1" t="n">
        <v>0</v>
      </c>
    </row>
    <row r="125" customFormat="false" ht="16.4" hidden="false" customHeight="false" outlineLevel="0" collapsed="false">
      <c r="A125" s="3" t="n">
        <v>44501</v>
      </c>
      <c r="B125" s="2" t="s">
        <v>26</v>
      </c>
      <c r="C125" s="1" t="n">
        <v>10</v>
      </c>
      <c r="D125" s="2" t="s">
        <v>156</v>
      </c>
      <c r="E125" s="2" t="s">
        <v>157</v>
      </c>
      <c r="F125" s="2" t="s">
        <v>11</v>
      </c>
    </row>
    <row r="126" customFormat="false" ht="16.4" hidden="false" customHeight="false" outlineLevel="0" collapsed="false">
      <c r="A126" s="3" t="n">
        <v>44531</v>
      </c>
      <c r="B126" s="2" t="s">
        <v>20</v>
      </c>
      <c r="C126" s="1" t="n">
        <v>1</v>
      </c>
      <c r="D126" s="2" t="s">
        <v>158</v>
      </c>
      <c r="E126" s="2" t="s">
        <v>159</v>
      </c>
      <c r="F126" s="2" t="s">
        <v>160</v>
      </c>
    </row>
    <row r="127" customFormat="false" ht="16.4" hidden="false" customHeight="false" outlineLevel="0" collapsed="false">
      <c r="A127" s="3" t="n">
        <v>44531</v>
      </c>
      <c r="B127" s="2" t="s">
        <v>20</v>
      </c>
      <c r="C127" s="1" t="n">
        <v>1</v>
      </c>
      <c r="D127" s="2" t="s">
        <v>161</v>
      </c>
      <c r="E127" s="2" t="s">
        <v>159</v>
      </c>
      <c r="F127" s="2" t="s">
        <v>160</v>
      </c>
    </row>
    <row r="128" customFormat="false" ht="16.4" hidden="false" customHeight="false" outlineLevel="0" collapsed="false">
      <c r="A128" s="3" t="n">
        <v>44531</v>
      </c>
      <c r="B128" s="2" t="s">
        <v>20</v>
      </c>
      <c r="C128" s="1" t="n">
        <v>1</v>
      </c>
      <c r="D128" s="2" t="s">
        <v>162</v>
      </c>
      <c r="E128" s="2" t="s">
        <v>159</v>
      </c>
      <c r="F128" s="2" t="s">
        <v>160</v>
      </c>
    </row>
    <row r="129" customFormat="false" ht="16.4" hidden="false" customHeight="false" outlineLevel="0" collapsed="false">
      <c r="A129" s="3" t="n">
        <v>44531</v>
      </c>
      <c r="B129" s="2" t="s">
        <v>19</v>
      </c>
      <c r="C129" s="1" t="n">
        <v>1</v>
      </c>
      <c r="D129" s="2" t="s">
        <v>163</v>
      </c>
      <c r="E129" s="2" t="s">
        <v>49</v>
      </c>
      <c r="F129" s="2" t="s">
        <v>11</v>
      </c>
    </row>
    <row r="130" customFormat="false" ht="16.4" hidden="false" customHeight="false" outlineLevel="0" collapsed="false">
      <c r="A130" s="3" t="n">
        <v>44562</v>
      </c>
      <c r="B130" s="2" t="s">
        <v>23</v>
      </c>
      <c r="C130" s="1" t="n">
        <v>4</v>
      </c>
      <c r="D130" s="2" t="s">
        <v>164</v>
      </c>
      <c r="E130" s="2" t="s">
        <v>49</v>
      </c>
      <c r="F130" s="2" t="s">
        <v>11</v>
      </c>
    </row>
    <row r="131" customFormat="false" ht="16.4" hidden="false" customHeight="false" outlineLevel="0" collapsed="false">
      <c r="A131" s="3" t="n">
        <v>44593</v>
      </c>
      <c r="B131" s="2" t="s">
        <v>23</v>
      </c>
      <c r="C131" s="1" t="n">
        <v>2</v>
      </c>
      <c r="D131" s="2" t="s">
        <v>164</v>
      </c>
      <c r="E131" s="2" t="s">
        <v>49</v>
      </c>
      <c r="F131" s="2" t="s">
        <v>11</v>
      </c>
    </row>
    <row r="132" customFormat="false" ht="16.4" hidden="false" customHeight="false" outlineLevel="0" collapsed="false">
      <c r="A132" s="3" t="n">
        <v>44593</v>
      </c>
      <c r="B132" s="2" t="s">
        <v>23</v>
      </c>
      <c r="C132" s="1" t="n">
        <v>1</v>
      </c>
      <c r="D132" s="2" t="s">
        <v>165</v>
      </c>
      <c r="E132" s="2" t="s">
        <v>49</v>
      </c>
      <c r="F132" s="2" t="s">
        <v>11</v>
      </c>
    </row>
    <row r="133" customFormat="false" ht="16.4" hidden="false" customHeight="false" outlineLevel="0" collapsed="false">
      <c r="A133" s="3" t="n">
        <v>44621</v>
      </c>
      <c r="B133" s="2" t="s">
        <v>23</v>
      </c>
      <c r="C133" s="1" t="n">
        <v>1</v>
      </c>
      <c r="D133" s="2" t="s">
        <v>166</v>
      </c>
      <c r="E133" s="2" t="s">
        <v>49</v>
      </c>
      <c r="F133" s="2" t="s">
        <v>11</v>
      </c>
    </row>
    <row r="134" customFormat="false" ht="16.4" hidden="false" customHeight="false" outlineLevel="0" collapsed="false">
      <c r="A134" s="3" t="n">
        <v>44621</v>
      </c>
      <c r="B134" s="2" t="s">
        <v>23</v>
      </c>
      <c r="C134" s="1" t="n">
        <v>1</v>
      </c>
      <c r="D134" s="2" t="s">
        <v>167</v>
      </c>
      <c r="E134" s="2" t="s">
        <v>49</v>
      </c>
      <c r="F134" s="2" t="s">
        <v>11</v>
      </c>
    </row>
    <row r="135" customFormat="false" ht="16.4" hidden="false" customHeight="false" outlineLevel="0" collapsed="false">
      <c r="A135" s="3" t="n">
        <v>44621</v>
      </c>
      <c r="B135" s="2" t="s">
        <v>19</v>
      </c>
      <c r="C135" s="1" t="n">
        <v>2</v>
      </c>
      <c r="D135" s="2" t="s">
        <v>48</v>
      </c>
      <c r="E135" s="2" t="s">
        <v>49</v>
      </c>
      <c r="F135" s="2" t="s">
        <v>11</v>
      </c>
    </row>
    <row r="136" customFormat="false" ht="16.4" hidden="false" customHeight="false" outlineLevel="0" collapsed="false">
      <c r="A136" s="3" t="n">
        <v>44652</v>
      </c>
      <c r="B136" s="2" t="s">
        <v>19</v>
      </c>
      <c r="C136" s="1" t="n">
        <v>2</v>
      </c>
      <c r="D136" s="2" t="s">
        <v>48</v>
      </c>
      <c r="E136" s="2" t="s">
        <v>49</v>
      </c>
      <c r="F136" s="2" t="s">
        <v>11</v>
      </c>
    </row>
    <row r="137" customFormat="false" ht="16.4" hidden="false" customHeight="false" outlineLevel="0" collapsed="false">
      <c r="A137" s="3" t="n">
        <v>44682</v>
      </c>
      <c r="B137" s="2" t="s">
        <v>19</v>
      </c>
      <c r="C137" s="1" t="n">
        <v>2</v>
      </c>
      <c r="D137" s="2" t="s">
        <v>48</v>
      </c>
      <c r="E137" s="2" t="s">
        <v>49</v>
      </c>
      <c r="F137" s="2" t="s">
        <v>11</v>
      </c>
    </row>
    <row r="138" customFormat="false" ht="16.4" hidden="false" customHeight="false" outlineLevel="0" collapsed="false">
      <c r="A138" s="3" t="n">
        <v>44682</v>
      </c>
      <c r="B138" s="2" t="s">
        <v>8</v>
      </c>
      <c r="C138" s="1" t="n">
        <v>1</v>
      </c>
      <c r="D138" s="2" t="s">
        <v>168</v>
      </c>
      <c r="E138" s="2" t="s">
        <v>169</v>
      </c>
      <c r="F138" s="2" t="s">
        <v>11</v>
      </c>
    </row>
    <row r="139" customFormat="false" ht="16.4" hidden="false" customHeight="false" outlineLevel="0" collapsed="false">
      <c r="A139" s="3" t="n">
        <v>44682</v>
      </c>
      <c r="B139" s="2" t="s">
        <v>8</v>
      </c>
      <c r="C139" s="1" t="n">
        <v>1</v>
      </c>
      <c r="D139" s="2" t="s">
        <v>170</v>
      </c>
      <c r="E139" s="2" t="s">
        <v>115</v>
      </c>
      <c r="F139" s="2" t="s">
        <v>11</v>
      </c>
    </row>
    <row r="140" customFormat="false" ht="16.4" hidden="false" customHeight="false" outlineLevel="0" collapsed="false">
      <c r="A140" s="3" t="n">
        <v>44713</v>
      </c>
      <c r="B140" s="2" t="s">
        <v>8</v>
      </c>
      <c r="C140" s="1" t="n">
        <v>5</v>
      </c>
      <c r="D140" s="2" t="s">
        <v>171</v>
      </c>
      <c r="E140" s="2" t="s">
        <v>172</v>
      </c>
      <c r="F140" s="2" t="s">
        <v>11</v>
      </c>
    </row>
    <row r="141" customFormat="false" ht="16.4" hidden="false" customHeight="false" outlineLevel="0" collapsed="false">
      <c r="A141" s="3" t="n">
        <v>44713</v>
      </c>
      <c r="B141" s="2" t="s">
        <v>19</v>
      </c>
      <c r="C141" s="1" t="n">
        <v>2</v>
      </c>
      <c r="D141" s="2" t="s">
        <v>48</v>
      </c>
      <c r="E141" s="2" t="s">
        <v>49</v>
      </c>
      <c r="F141" s="2" t="s">
        <v>11</v>
      </c>
    </row>
    <row r="142" customFormat="false" ht="16.4" hidden="false" customHeight="false" outlineLevel="0" collapsed="false">
      <c r="A142" s="3" t="n">
        <v>44743</v>
      </c>
      <c r="B142" s="2" t="s">
        <v>19</v>
      </c>
      <c r="C142" s="1" t="n">
        <v>2</v>
      </c>
      <c r="D142" s="2" t="s">
        <v>48</v>
      </c>
      <c r="E142" s="2" t="s">
        <v>49</v>
      </c>
      <c r="F142" s="2" t="s">
        <v>11</v>
      </c>
    </row>
    <row r="143" customFormat="false" ht="16.4" hidden="false" customHeight="false" outlineLevel="0" collapsed="false">
      <c r="A143" s="3" t="n">
        <v>44774</v>
      </c>
      <c r="B143" s="2" t="s">
        <v>19</v>
      </c>
      <c r="C143" s="1" t="n">
        <v>2</v>
      </c>
      <c r="D143" s="2" t="s">
        <v>48</v>
      </c>
      <c r="E143" s="2" t="s">
        <v>49</v>
      </c>
      <c r="F143" s="2" t="s">
        <v>11</v>
      </c>
    </row>
    <row r="144" customFormat="false" ht="16.4" hidden="false" customHeight="false" outlineLevel="0" collapsed="false">
      <c r="A144" s="3" t="n">
        <v>44805</v>
      </c>
      <c r="B144" s="2" t="s">
        <v>19</v>
      </c>
      <c r="C144" s="1" t="n">
        <v>2</v>
      </c>
      <c r="D144" s="2" t="s">
        <v>48</v>
      </c>
      <c r="E144" s="2" t="s">
        <v>49</v>
      </c>
      <c r="F144" s="2" t="s">
        <v>11</v>
      </c>
    </row>
    <row r="145" customFormat="false" ht="16.4" hidden="false" customHeight="false" outlineLevel="0" collapsed="false">
      <c r="A145" s="3" t="n">
        <v>44835</v>
      </c>
      <c r="B145" s="2" t="s">
        <v>19</v>
      </c>
      <c r="C145" s="1" t="n">
        <v>2</v>
      </c>
      <c r="D145" s="2" t="s">
        <v>48</v>
      </c>
      <c r="E145" s="2" t="s">
        <v>49</v>
      </c>
      <c r="F145" s="2" t="s">
        <v>11</v>
      </c>
    </row>
    <row r="146" customFormat="false" ht="16.4" hidden="false" customHeight="false" outlineLevel="0" collapsed="false">
      <c r="A146" s="3" t="n">
        <v>44866</v>
      </c>
      <c r="B146" s="2" t="s">
        <v>19</v>
      </c>
      <c r="C146" s="1" t="n">
        <v>2</v>
      </c>
      <c r="D146" s="2" t="s">
        <v>48</v>
      </c>
      <c r="E146" s="2" t="s">
        <v>49</v>
      </c>
      <c r="F146" s="2" t="s">
        <v>11</v>
      </c>
    </row>
    <row r="147" customFormat="false" ht="14.25" hidden="false" customHeight="false" outlineLevel="0" collapsed="false">
      <c r="A147" s="3" t="n">
        <v>44896</v>
      </c>
      <c r="B147" s="2"/>
      <c r="C147" s="1" t="n">
        <v>0</v>
      </c>
    </row>
    <row r="148" customFormat="false" ht="16.4" hidden="false" customHeight="false" outlineLevel="0" collapsed="false">
      <c r="A148" s="3" t="n">
        <v>44927</v>
      </c>
      <c r="B148" s="2" t="s">
        <v>19</v>
      </c>
      <c r="C148" s="1" t="n">
        <v>1</v>
      </c>
      <c r="D148" s="2" t="s">
        <v>173</v>
      </c>
      <c r="E148" s="2" t="s">
        <v>49</v>
      </c>
      <c r="F148" s="2" t="s">
        <v>11</v>
      </c>
    </row>
    <row r="149" customFormat="false" ht="16.4" hidden="false" customHeight="false" outlineLevel="0" collapsed="false">
      <c r="A149" s="3" t="n">
        <v>44927</v>
      </c>
      <c r="B149" s="2" t="s">
        <v>19</v>
      </c>
      <c r="C149" s="1" t="n">
        <v>4</v>
      </c>
      <c r="D149" s="2" t="s">
        <v>173</v>
      </c>
      <c r="E149" s="2" t="s">
        <v>49</v>
      </c>
      <c r="F149" s="2" t="s">
        <v>11</v>
      </c>
    </row>
    <row r="150" customFormat="false" ht="16.4" hidden="false" customHeight="false" outlineLevel="0" collapsed="false">
      <c r="A150" s="3" t="n">
        <v>44958</v>
      </c>
      <c r="B150" s="2" t="s">
        <v>19</v>
      </c>
      <c r="C150" s="1" t="n">
        <v>5</v>
      </c>
      <c r="D150" s="2" t="s">
        <v>173</v>
      </c>
      <c r="E150" s="2" t="s">
        <v>49</v>
      </c>
      <c r="F150" s="2" t="s">
        <v>11</v>
      </c>
    </row>
    <row r="151" customFormat="false" ht="16.4" hidden="false" customHeight="false" outlineLevel="0" collapsed="false">
      <c r="A151" s="3" t="n">
        <v>44986</v>
      </c>
      <c r="B151" s="2" t="s">
        <v>19</v>
      </c>
      <c r="C151" s="1" t="n">
        <v>1</v>
      </c>
      <c r="D151" s="2" t="s">
        <v>174</v>
      </c>
      <c r="E151" s="2" t="s">
        <v>49</v>
      </c>
      <c r="F151" s="2" t="s">
        <v>11</v>
      </c>
    </row>
    <row r="152" customFormat="false" ht="16.4" hidden="false" customHeight="false" outlineLevel="0" collapsed="false">
      <c r="A152" s="3" t="n">
        <v>44986</v>
      </c>
      <c r="B152" s="2" t="s">
        <v>29</v>
      </c>
      <c r="C152" s="1" t="n">
        <v>1</v>
      </c>
      <c r="D152" s="2" t="s">
        <v>175</v>
      </c>
      <c r="E152" s="2" t="s">
        <v>31</v>
      </c>
      <c r="F152" s="2" t="s">
        <v>176</v>
      </c>
    </row>
    <row r="153" customFormat="false" ht="14.25" hidden="false" customHeight="false" outlineLevel="0" collapsed="false">
      <c r="A153" s="3" t="n">
        <v>45017</v>
      </c>
      <c r="B153" s="2"/>
      <c r="C153" s="1" t="n">
        <v>0</v>
      </c>
    </row>
    <row r="154" customFormat="false" ht="14.25" hidden="false" customHeight="false" outlineLevel="0" collapsed="false">
      <c r="A154" s="3" t="n">
        <v>45047</v>
      </c>
      <c r="B154" s="2"/>
      <c r="C154" s="1" t="n">
        <v>0</v>
      </c>
    </row>
    <row r="155" customFormat="false" ht="14.25" hidden="false" customHeight="false" outlineLevel="0" collapsed="false">
      <c r="A155" s="3" t="n">
        <v>45078</v>
      </c>
      <c r="B155" s="2"/>
      <c r="C155" s="1" t="n">
        <v>0</v>
      </c>
    </row>
    <row r="156" customFormat="false" ht="14.25" hidden="false" customHeight="false" outlineLevel="0" collapsed="false">
      <c r="A156" s="3" t="n">
        <v>45108</v>
      </c>
      <c r="B156" s="2"/>
      <c r="C156" s="1" t="n">
        <v>0</v>
      </c>
    </row>
    <row r="157" customFormat="false" ht="14.25" hidden="false" customHeight="false" outlineLevel="0" collapsed="false">
      <c r="A157" s="3" t="n">
        <v>45139</v>
      </c>
      <c r="B157" s="2"/>
      <c r="C157" s="1" t="n">
        <v>0</v>
      </c>
    </row>
    <row r="158" customFormat="false" ht="16.4" hidden="false" customHeight="false" outlineLevel="0" collapsed="false">
      <c r="A158" s="3" t="n">
        <v>45170</v>
      </c>
      <c r="B158" s="2" t="s">
        <v>26</v>
      </c>
      <c r="C158" s="1" t="n">
        <v>1</v>
      </c>
      <c r="D158" s="2" t="s">
        <v>177</v>
      </c>
      <c r="E158" s="2" t="s">
        <v>157</v>
      </c>
      <c r="F158" s="2" t="s">
        <v>11</v>
      </c>
    </row>
    <row r="159" customFormat="false" ht="14.25" hidden="false" customHeight="false" outlineLevel="0" collapsed="false">
      <c r="A159" s="3" t="n">
        <v>45200</v>
      </c>
      <c r="B159" s="2"/>
      <c r="C159" s="1" t="n">
        <v>0</v>
      </c>
    </row>
    <row r="160" customFormat="false" ht="14.25" hidden="false" customHeight="false" outlineLevel="0" collapsed="false">
      <c r="A160" s="3" t="n">
        <v>45231</v>
      </c>
      <c r="B160" s="2"/>
      <c r="C160" s="1" t="n">
        <v>0</v>
      </c>
    </row>
    <row r="161" customFormat="false" ht="16.4" hidden="false" customHeight="false" outlineLevel="0" collapsed="false">
      <c r="A161" s="3" t="n">
        <v>45261</v>
      </c>
      <c r="B161" s="2" t="s">
        <v>35</v>
      </c>
      <c r="C161" s="1" t="n">
        <v>3</v>
      </c>
      <c r="D161" s="2" t="s">
        <v>178</v>
      </c>
      <c r="E161" s="2" t="s">
        <v>179</v>
      </c>
      <c r="F161" s="2" t="s">
        <v>11</v>
      </c>
    </row>
    <row r="162" customFormat="false" ht="14.25" hidden="false" customHeight="false" outlineLevel="0" collapsed="false">
      <c r="A162" s="3" t="n">
        <v>45292</v>
      </c>
      <c r="B162" s="2"/>
      <c r="C162" s="1" t="n">
        <v>0</v>
      </c>
    </row>
    <row r="163" customFormat="false" ht="14.25" hidden="false" customHeight="false" outlineLevel="0" collapsed="false">
      <c r="A163" s="3" t="n">
        <v>45323</v>
      </c>
      <c r="B163" s="2"/>
      <c r="C163" s="1" t="n">
        <v>0</v>
      </c>
    </row>
    <row r="164" customFormat="false" ht="14.25" hidden="false" customHeight="false" outlineLevel="0" collapsed="false">
      <c r="A164" s="3" t="n">
        <v>45352</v>
      </c>
      <c r="B164" s="2"/>
      <c r="C164" s="1" t="n">
        <v>0</v>
      </c>
    </row>
    <row r="165" customFormat="false" ht="14.25" hidden="false" customHeight="false" outlineLevel="0" collapsed="false">
      <c r="A165" s="3" t="n">
        <v>45383</v>
      </c>
      <c r="B165" s="2"/>
      <c r="C165" s="1" t="n">
        <v>0</v>
      </c>
    </row>
    <row r="166" customFormat="false" ht="16.4" hidden="false" customHeight="false" outlineLevel="0" collapsed="false">
      <c r="A166" s="3" t="n">
        <v>45413</v>
      </c>
      <c r="B166" s="2" t="s">
        <v>35</v>
      </c>
      <c r="C166" s="1" t="n">
        <v>3</v>
      </c>
      <c r="D166" s="2" t="s">
        <v>180</v>
      </c>
      <c r="E166" s="2" t="s">
        <v>179</v>
      </c>
      <c r="F166" s="2" t="s">
        <v>11</v>
      </c>
    </row>
    <row r="167" customFormat="false" ht="14.25" hidden="false" customHeight="false" outlineLevel="0" collapsed="false">
      <c r="A167" s="3" t="n">
        <v>45444</v>
      </c>
      <c r="B167" s="2"/>
    </row>
    <row r="168" customFormat="false" ht="16.4" hidden="false" customHeight="false" outlineLevel="0" collapsed="false">
      <c r="A168" s="3" t="n">
        <v>45474</v>
      </c>
      <c r="B168" s="2" t="s">
        <v>35</v>
      </c>
      <c r="C168" s="1" t="n">
        <v>5</v>
      </c>
      <c r="D168" s="2" t="s">
        <v>181</v>
      </c>
      <c r="E168" s="2" t="s">
        <v>179</v>
      </c>
      <c r="F168" s="2" t="s">
        <v>11</v>
      </c>
    </row>
    <row r="169" customFormat="false" ht="16.4" hidden="false" customHeight="false" outlineLevel="0" collapsed="false">
      <c r="A169" s="3" t="n">
        <v>45505</v>
      </c>
      <c r="B169" s="2" t="s">
        <v>35</v>
      </c>
      <c r="C169" s="1" t="n">
        <v>5</v>
      </c>
      <c r="D169" s="2" t="s">
        <v>181</v>
      </c>
      <c r="E169" s="2" t="s">
        <v>179</v>
      </c>
      <c r="F169" s="2" t="s">
        <v>11</v>
      </c>
    </row>
    <row r="170" customFormat="false" ht="16.4" hidden="false" customHeight="false" outlineLevel="0" collapsed="false">
      <c r="A170" s="3" t="n">
        <v>45505</v>
      </c>
      <c r="B170" s="2" t="s">
        <v>35</v>
      </c>
      <c r="C170" s="1" t="n">
        <v>1</v>
      </c>
      <c r="D170" s="2" t="s">
        <v>182</v>
      </c>
      <c r="E170" s="2" t="s">
        <v>179</v>
      </c>
      <c r="F170" s="2" t="s">
        <v>11</v>
      </c>
    </row>
    <row r="171" customFormat="false" ht="16.4" hidden="false" customHeight="false" outlineLevel="0" collapsed="false">
      <c r="A171" s="3" t="n">
        <v>45505</v>
      </c>
      <c r="B171" s="2" t="s">
        <v>19</v>
      </c>
      <c r="C171" s="1" t="n">
        <v>1</v>
      </c>
      <c r="D171" s="2" t="s">
        <v>183</v>
      </c>
      <c r="E171" s="2" t="s">
        <v>49</v>
      </c>
      <c r="F171" s="2" t="s">
        <v>11</v>
      </c>
    </row>
    <row r="172" customFormat="false" ht="14.25" hidden="false" customHeight="false" outlineLevel="0" collapsed="false">
      <c r="A172" s="3" t="n">
        <v>45536</v>
      </c>
      <c r="B172" s="2"/>
    </row>
    <row r="173" customFormat="false" ht="14.25" hidden="false" customHeight="false" outlineLevel="0" collapsed="false">
      <c r="A173" s="3" t="n">
        <v>45566</v>
      </c>
      <c r="B173" s="2"/>
    </row>
    <row r="174" customFormat="false" ht="14.25" hidden="false" customHeight="false" outlineLevel="0" collapsed="false">
      <c r="A174" s="3" t="n">
        <v>45597</v>
      </c>
      <c r="B174" s="2"/>
    </row>
    <row r="175" customFormat="false" ht="16.4" hidden="false" customHeight="false" outlineLevel="0" collapsed="false">
      <c r="A175" s="3" t="n">
        <v>45627</v>
      </c>
      <c r="B175" s="2" t="s">
        <v>35</v>
      </c>
      <c r="C175" s="1" t="n">
        <v>5</v>
      </c>
      <c r="D175" s="2" t="s">
        <v>184</v>
      </c>
      <c r="E175" s="2" t="s">
        <v>179</v>
      </c>
      <c r="F175" s="2" t="s">
        <v>11</v>
      </c>
    </row>
    <row r="176" customFormat="false" ht="14.25" hidden="false" customHeight="false" outlineLevel="0" collapsed="false">
      <c r="A176" s="3" t="n">
        <v>45658</v>
      </c>
      <c r="B176" s="2"/>
    </row>
    <row r="177" customFormat="false" ht="14.25" hidden="false" customHeight="false" outlineLevel="0" collapsed="false">
      <c r="A177" s="3" t="n">
        <v>45689</v>
      </c>
      <c r="B177" s="2"/>
    </row>
    <row r="178" customFormat="false" ht="14.25" hidden="false" customHeight="false" outlineLevel="0" collapsed="false">
      <c r="A178" s="3" t="n">
        <v>45717</v>
      </c>
      <c r="B178" s="2"/>
    </row>
    <row r="179" customFormat="false" ht="16.4" hidden="false" customHeight="false" outlineLevel="0" collapsed="false">
      <c r="A179" s="3" t="n">
        <v>45748</v>
      </c>
      <c r="B179" s="2" t="s">
        <v>29</v>
      </c>
      <c r="C179" s="1" t="n">
        <v>1</v>
      </c>
      <c r="D179" s="2" t="s">
        <v>185</v>
      </c>
      <c r="E179" s="2" t="s">
        <v>31</v>
      </c>
      <c r="F179" s="2" t="s">
        <v>11</v>
      </c>
    </row>
    <row r="180" customFormat="false" ht="16.4" hidden="false" customHeight="false" outlineLevel="0" collapsed="false">
      <c r="A180" s="3" t="n">
        <v>45748</v>
      </c>
      <c r="B180" s="2" t="s">
        <v>29</v>
      </c>
      <c r="C180" s="1" t="n">
        <v>6</v>
      </c>
      <c r="D180" s="2" t="s">
        <v>186</v>
      </c>
      <c r="E180" s="2" t="s">
        <v>31</v>
      </c>
      <c r="F180" s="2" t="s">
        <v>11</v>
      </c>
    </row>
    <row r="181" customFormat="false" ht="16.4" hidden="false" customHeight="false" outlineLevel="0" collapsed="false">
      <c r="A181" s="3" t="n">
        <v>45778</v>
      </c>
      <c r="B181" s="2" t="s">
        <v>35</v>
      </c>
      <c r="C181" s="1" t="n">
        <v>9</v>
      </c>
      <c r="D181" s="2" t="s">
        <v>178</v>
      </c>
      <c r="E181" s="2" t="s">
        <v>179</v>
      </c>
      <c r="F181" s="2" t="s">
        <v>11</v>
      </c>
    </row>
    <row r="182" customFormat="false" ht="16.4" hidden="false" customHeight="false" outlineLevel="0" collapsed="false">
      <c r="A182" s="3" t="n">
        <v>45809</v>
      </c>
      <c r="B182" s="2" t="s">
        <v>35</v>
      </c>
      <c r="C182" s="1" t="n">
        <v>3</v>
      </c>
      <c r="D182" s="1" t="s">
        <v>187</v>
      </c>
      <c r="E182" s="1" t="s">
        <v>179</v>
      </c>
      <c r="F182" s="1" t="s">
        <v>11</v>
      </c>
    </row>
    <row r="183" customFormat="false" ht="16.4" hidden="false" customHeight="false" outlineLevel="0" collapsed="false">
      <c r="A183" s="3" t="n">
        <v>45809</v>
      </c>
      <c r="B183" s="2" t="s">
        <v>35</v>
      </c>
      <c r="C183" s="1" t="n">
        <v>3</v>
      </c>
      <c r="D183" s="1" t="s">
        <v>188</v>
      </c>
      <c r="E183" s="1" t="s">
        <v>179</v>
      </c>
      <c r="F183" s="1" t="s">
        <v>11</v>
      </c>
    </row>
    <row r="184" customFormat="false" ht="16.4" hidden="false" customHeight="false" outlineLevel="0" collapsed="false">
      <c r="A184" s="3" t="n">
        <v>45809</v>
      </c>
      <c r="B184" s="2" t="s">
        <v>19</v>
      </c>
      <c r="C184" s="1" t="n">
        <v>1</v>
      </c>
      <c r="D184" s="1" t="s">
        <v>189</v>
      </c>
      <c r="E184" s="1" t="s">
        <v>49</v>
      </c>
      <c r="F184" s="1" t="s">
        <v>11</v>
      </c>
    </row>
    <row r="185" customFormat="false" ht="16.4" hidden="false" customHeight="false" outlineLevel="0" collapsed="false">
      <c r="A185" s="3" t="n">
        <v>45809</v>
      </c>
      <c r="B185" s="2" t="s">
        <v>35</v>
      </c>
      <c r="C185" s="1" t="n">
        <v>1</v>
      </c>
      <c r="D185" s="1" t="s">
        <v>190</v>
      </c>
      <c r="E185" s="1" t="s">
        <v>179</v>
      </c>
      <c r="F185" s="1" t="s">
        <v>11</v>
      </c>
    </row>
    <row r="186" customFormat="false" ht="14.25" hidden="false" customHeight="false" outlineLevel="0" collapsed="false">
      <c r="A186" s="3" t="n">
        <v>45839</v>
      </c>
      <c r="B186" s="2"/>
    </row>
    <row r="187" customFormat="false" ht="14.25" hidden="false" customHeight="false" outlineLevel="0" collapsed="false">
      <c r="A187" s="3" t="n">
        <v>45870</v>
      </c>
      <c r="B187" s="2"/>
    </row>
    <row r="188" customFormat="false" ht="14.25" hidden="false" customHeight="false" outlineLevel="0" collapsed="false">
      <c r="A188" s="3" t="n">
        <v>45901</v>
      </c>
      <c r="B188" s="2"/>
    </row>
    <row r="189" customFormat="false" ht="14.25" hidden="false" customHeight="false" outlineLevel="0" collapsed="false">
      <c r="A189" s="3" t="n">
        <v>45931</v>
      </c>
      <c r="B189" s="2"/>
    </row>
    <row r="190" customFormat="false" ht="14.25" hidden="false" customHeight="false" outlineLevel="0" collapsed="false">
      <c r="A190" s="3" t="n">
        <v>45962</v>
      </c>
      <c r="B190" s="2"/>
    </row>
    <row r="191" customFormat="false" ht="14.25" hidden="false" customHeight="false" outlineLevel="0" collapsed="false">
      <c r="A191" s="3" t="n">
        <v>45992</v>
      </c>
      <c r="B191" s="2"/>
    </row>
    <row r="192" customFormat="false" ht="14.25" hidden="false" customHeight="false" outlineLevel="0" collapsed="false">
      <c r="A192" s="3" t="n">
        <v>46023</v>
      </c>
      <c r="B192" s="2"/>
    </row>
    <row r="193" customFormat="false" ht="14.25" hidden="false" customHeight="false" outlineLevel="0" collapsed="false">
      <c r="A193" s="3" t="n">
        <v>46054</v>
      </c>
      <c r="B193" s="2"/>
    </row>
    <row r="194" customFormat="false" ht="14.25" hidden="false" customHeight="false" outlineLevel="0" collapsed="false">
      <c r="A194" s="3" t="n">
        <v>46082</v>
      </c>
      <c r="B194" s="2"/>
    </row>
    <row r="195" customFormat="false" ht="14.25" hidden="false" customHeight="false" outlineLevel="0" collapsed="false">
      <c r="A195" s="3" t="n">
        <v>46113</v>
      </c>
      <c r="B195" s="2"/>
    </row>
    <row r="196" customFormat="false" ht="14.25" hidden="false" customHeight="false" outlineLevel="0" collapsed="false">
      <c r="B196" s="2"/>
    </row>
    <row r="197" customFormat="false" ht="14.25" hidden="false" customHeight="false" outlineLevel="0" collapsed="false">
      <c r="B197" s="2"/>
    </row>
    <row r="198" customFormat="false" ht="14.25" hidden="false" customHeight="false" outlineLevel="0" collapsed="false">
      <c r="B198" s="2"/>
    </row>
    <row r="199" customFormat="false" ht="14.25" hidden="false" customHeight="false" outlineLevel="0" collapsed="false">
      <c r="B199" s="2"/>
    </row>
    <row r="200" customFormat="false" ht="14.25" hidden="false" customHeight="false" outlineLevel="0" collapsed="false">
      <c r="B200" s="2"/>
    </row>
    <row r="201" customFormat="false" ht="14.25" hidden="false" customHeight="false" outlineLevel="0" collapsed="false">
      <c r="B201" s="2"/>
    </row>
    <row r="202" customFormat="false" ht="14.25" hidden="false" customHeight="false" outlineLevel="0" collapsed="false">
      <c r="B202" s="2"/>
    </row>
    <row r="203" customFormat="false" ht="14.25" hidden="false" customHeight="false" outlineLevel="0" collapsed="false">
      <c r="B203" s="2"/>
    </row>
    <row r="204" customFormat="false" ht="14.25" hidden="false" customHeight="false" outlineLevel="0" collapsed="false">
      <c r="B204" s="2"/>
    </row>
    <row r="205" customFormat="false" ht="14.25" hidden="false" customHeight="false" outlineLevel="0" collapsed="false">
      <c r="B205" s="2"/>
    </row>
    <row r="206" customFormat="false" ht="14.25" hidden="false" customHeight="false" outlineLevel="0" collapsed="false">
      <c r="B206" s="2"/>
    </row>
    <row r="207" customFormat="false" ht="14.25" hidden="false" customHeight="false" outlineLevel="0" collapsed="false">
      <c r="B207" s="2"/>
    </row>
    <row r="208" customFormat="false" ht="14.25" hidden="false" customHeight="false" outlineLevel="0" collapsed="false">
      <c r="B208" s="2"/>
    </row>
    <row r="209" customFormat="false" ht="14.25" hidden="false" customHeight="false" outlineLevel="0" collapsed="false">
      <c r="B209" s="2"/>
    </row>
    <row r="210" customFormat="false" ht="14.25" hidden="false" customHeight="false" outlineLevel="0" collapsed="false">
      <c r="B210" s="2"/>
    </row>
    <row r="211" customFormat="false" ht="14.25" hidden="false" customHeight="false" outlineLevel="0" collapsed="false">
      <c r="B211" s="2"/>
    </row>
    <row r="212" customFormat="false" ht="14.25" hidden="false" customHeight="false" outlineLevel="0" collapsed="false">
      <c r="B212" s="2"/>
    </row>
    <row r="213" customFormat="false" ht="14.25" hidden="false" customHeight="false" outlineLevel="0" collapsed="false">
      <c r="B213" s="2"/>
    </row>
    <row r="214" customFormat="false" ht="14.25" hidden="false" customHeight="false" outlineLevel="0" collapsed="false">
      <c r="B214" s="2"/>
    </row>
    <row r="215" customFormat="false" ht="14.25" hidden="false" customHeight="false" outlineLevel="0" collapsed="false">
      <c r="B215" s="2"/>
    </row>
    <row r="216" customFormat="false" ht="14.25" hidden="false" customHeight="false" outlineLevel="0" collapsed="false">
      <c r="B216" s="2"/>
    </row>
    <row r="217" customFormat="false" ht="14.25" hidden="false" customHeight="false" outlineLevel="0" collapsed="false">
      <c r="B217" s="2"/>
    </row>
    <row r="218" customFormat="false" ht="14.25" hidden="false" customHeight="false" outlineLevel="0" collapsed="false">
      <c r="B218" s="2"/>
    </row>
    <row r="219" customFormat="false" ht="14.25" hidden="false" customHeight="false" outlineLevel="0" collapsed="false">
      <c r="B219" s="2"/>
    </row>
    <row r="220" customFormat="false" ht="14.25" hidden="false" customHeight="false" outlineLevel="0" collapsed="false">
      <c r="B220" s="2"/>
    </row>
    <row r="221" customFormat="false" ht="14.25" hidden="false" customHeight="false" outlineLevel="0" collapsed="false">
      <c r="B221" s="2"/>
    </row>
    <row r="222" customFormat="false" ht="14.25" hidden="false" customHeight="false" outlineLevel="0" collapsed="false">
      <c r="B222" s="2"/>
    </row>
    <row r="223" customFormat="false" ht="14.25" hidden="false" customHeight="false" outlineLevel="0" collapsed="false">
      <c r="B223" s="2"/>
    </row>
    <row r="224" customFormat="false" ht="14.25" hidden="false" customHeight="false" outlineLevel="0" collapsed="false">
      <c r="B224" s="2"/>
    </row>
    <row r="225" customFormat="false" ht="14.25" hidden="false" customHeight="false" outlineLevel="0" collapsed="false">
      <c r="B225" s="2"/>
    </row>
    <row r="226" customFormat="false" ht="14.25" hidden="false" customHeight="false" outlineLevel="0" collapsed="false">
      <c r="B226" s="2"/>
    </row>
    <row r="227" customFormat="false" ht="14.25" hidden="false" customHeight="false" outlineLevel="0" collapsed="false">
      <c r="B227" s="2"/>
    </row>
    <row r="228" customFormat="false" ht="14.25" hidden="false" customHeight="false" outlineLevel="0" collapsed="false">
      <c r="B228" s="2"/>
    </row>
    <row r="229" customFormat="false" ht="14.25" hidden="false" customHeight="false" outlineLevel="0" collapsed="false">
      <c r="B229" s="2"/>
    </row>
    <row r="230" customFormat="false" ht="14.25" hidden="false" customHeight="false" outlineLevel="0" collapsed="false">
      <c r="B230" s="2"/>
    </row>
    <row r="231" customFormat="false" ht="14.25" hidden="false" customHeight="false" outlineLevel="0" collapsed="false">
      <c r="B231" s="2"/>
    </row>
    <row r="232" customFormat="false" ht="14.25" hidden="false" customHeight="false" outlineLevel="0" collapsed="false">
      <c r="B232" s="2"/>
    </row>
    <row r="233" customFormat="false" ht="14.25" hidden="false" customHeight="false" outlineLevel="0" collapsed="false">
      <c r="B233" s="2"/>
    </row>
    <row r="234" customFormat="false" ht="14.25" hidden="false" customHeight="false" outlineLevel="0" collapsed="false">
      <c r="B234" s="2"/>
    </row>
    <row r="235" customFormat="false" ht="14.25" hidden="false" customHeight="false" outlineLevel="0" collapsed="false">
      <c r="B235" s="2"/>
    </row>
    <row r="236" customFormat="false" ht="14.25" hidden="false" customHeight="false" outlineLevel="0" collapsed="false">
      <c r="B236" s="2"/>
    </row>
    <row r="237" customFormat="false" ht="14.25" hidden="false" customHeight="false" outlineLevel="0" collapsed="false">
      <c r="B237" s="2"/>
    </row>
    <row r="238" customFormat="false" ht="14.25" hidden="false" customHeight="false" outlineLevel="0" collapsed="false">
      <c r="B238" s="2"/>
    </row>
    <row r="239" customFormat="false" ht="14.25" hidden="false" customHeight="false" outlineLevel="0" collapsed="false">
      <c r="B239" s="2"/>
    </row>
    <row r="240" customFormat="false" ht="14.25" hidden="false" customHeight="false" outlineLevel="0" collapsed="false">
      <c r="B240" s="2"/>
    </row>
    <row r="241" customFormat="false" ht="14.25" hidden="false" customHeight="false" outlineLevel="0" collapsed="false">
      <c r="B241" s="2"/>
    </row>
    <row r="242" customFormat="false" ht="14.25" hidden="false" customHeight="false" outlineLevel="0" collapsed="false">
      <c r="B242" s="2"/>
    </row>
    <row r="243" customFormat="false" ht="14.25" hidden="false" customHeight="false" outlineLevel="0" collapsed="false">
      <c r="B243" s="2"/>
    </row>
    <row r="244" customFormat="false" ht="14.25" hidden="false" customHeight="false" outlineLevel="0" collapsed="false">
      <c r="B244" s="2"/>
    </row>
    <row r="245" customFormat="false" ht="14.25" hidden="false" customHeight="false" outlineLevel="0" collapsed="false">
      <c r="B245" s="2"/>
    </row>
    <row r="246" customFormat="false" ht="14.25" hidden="false" customHeight="false" outlineLevel="0" collapsed="false">
      <c r="B246" s="2"/>
    </row>
    <row r="247" customFormat="false" ht="14.25" hidden="false" customHeight="false" outlineLevel="0" collapsed="false">
      <c r="B247" s="2"/>
    </row>
    <row r="248" customFormat="false" ht="14.25" hidden="false" customHeight="false" outlineLevel="0" collapsed="false">
      <c r="B248" s="2"/>
    </row>
    <row r="249" customFormat="false" ht="14.25" hidden="false" customHeight="false" outlineLevel="0" collapsed="false">
      <c r="B249" s="2"/>
    </row>
    <row r="250" customFormat="false" ht="14.25" hidden="false" customHeight="false" outlineLevel="0" collapsed="false">
      <c r="B250" s="2"/>
    </row>
    <row r="251" customFormat="false" ht="14.25" hidden="false" customHeight="false" outlineLevel="0" collapsed="false">
      <c r="B251" s="2"/>
    </row>
    <row r="252" customFormat="false" ht="14.25" hidden="false" customHeight="false" outlineLevel="0" collapsed="false">
      <c r="B252" s="2"/>
    </row>
    <row r="253" customFormat="false" ht="14.25" hidden="false" customHeight="false" outlineLevel="0" collapsed="false">
      <c r="B253" s="2"/>
    </row>
    <row r="254" customFormat="false" ht="14.25" hidden="false" customHeight="false" outlineLevel="0" collapsed="false">
      <c r="B254" s="2"/>
    </row>
    <row r="255" customFormat="false" ht="14.25" hidden="false" customHeight="false" outlineLevel="0" collapsed="false">
      <c r="B255" s="2"/>
    </row>
    <row r="256" customFormat="false" ht="14.25" hidden="false" customHeight="false" outlineLevel="0" collapsed="false">
      <c r="B256" s="2"/>
    </row>
    <row r="257" customFormat="false" ht="14.25" hidden="false" customHeight="false" outlineLevel="0" collapsed="false">
      <c r="B257" s="2"/>
    </row>
    <row r="258" customFormat="false" ht="14.25" hidden="false" customHeight="false" outlineLevel="0" collapsed="false">
      <c r="B258" s="2"/>
    </row>
    <row r="259" customFormat="false" ht="14.25" hidden="false" customHeight="false" outlineLevel="0" collapsed="false">
      <c r="B259" s="2"/>
    </row>
    <row r="260" customFormat="false" ht="14.25" hidden="false" customHeight="false" outlineLevel="0" collapsed="false">
      <c r="B260" s="2"/>
    </row>
    <row r="261" customFormat="false" ht="14.25" hidden="false" customHeight="false" outlineLevel="0" collapsed="false">
      <c r="B261" s="2"/>
    </row>
    <row r="262" customFormat="false" ht="14.25" hidden="false" customHeight="false" outlineLevel="0" collapsed="false">
      <c r="B262" s="2"/>
    </row>
    <row r="263" customFormat="false" ht="14.25" hidden="false" customHeight="false" outlineLevel="0" collapsed="false">
      <c r="B263" s="2"/>
    </row>
    <row r="264" customFormat="false" ht="14.25" hidden="false" customHeight="false" outlineLevel="0" collapsed="false">
      <c r="B264" s="2"/>
    </row>
    <row r="265" customFormat="false" ht="14.25" hidden="false" customHeight="false" outlineLevel="0" collapsed="false">
      <c r="B265" s="2"/>
    </row>
    <row r="266" customFormat="false" ht="14.25" hidden="false" customHeight="false" outlineLevel="0" collapsed="false">
      <c r="B266" s="2"/>
    </row>
    <row r="267" customFormat="false" ht="14.25" hidden="false" customHeight="false" outlineLevel="0" collapsed="false">
      <c r="B267" s="2"/>
    </row>
    <row r="268" customFormat="false" ht="14.25" hidden="false" customHeight="false" outlineLevel="0" collapsed="false">
      <c r="B268" s="2"/>
    </row>
    <row r="269" customFormat="false" ht="14.25" hidden="false" customHeight="false" outlineLevel="0" collapsed="false">
      <c r="B269" s="2"/>
    </row>
    <row r="270" customFormat="false" ht="14.25" hidden="false" customHeight="false" outlineLevel="0" collapsed="false">
      <c r="B270" s="2"/>
    </row>
    <row r="271" customFormat="false" ht="14.25" hidden="false" customHeight="false" outlineLevel="0" collapsed="false">
      <c r="B271" s="2"/>
    </row>
    <row r="272" customFormat="false" ht="14.25" hidden="false" customHeight="false" outlineLevel="0" collapsed="false">
      <c r="B272" s="2"/>
    </row>
    <row r="273" customFormat="false" ht="14.25" hidden="false" customHeight="false" outlineLevel="0" collapsed="false">
      <c r="B273" s="2"/>
    </row>
    <row r="274" customFormat="false" ht="14.25" hidden="false" customHeight="false" outlineLevel="0" collapsed="false">
      <c r="B274" s="2"/>
    </row>
    <row r="275" customFormat="false" ht="14.25" hidden="false" customHeight="false" outlineLevel="0" collapsed="false">
      <c r="B275" s="2"/>
    </row>
    <row r="276" customFormat="false" ht="14.25" hidden="false" customHeight="false" outlineLevel="0" collapsed="false">
      <c r="B276" s="2"/>
    </row>
    <row r="277" customFormat="false" ht="14.25" hidden="false" customHeight="false" outlineLevel="0" collapsed="false">
      <c r="B277" s="2"/>
    </row>
    <row r="278" customFormat="false" ht="14.25" hidden="false" customHeight="false" outlineLevel="0" collapsed="false">
      <c r="B278" s="2"/>
    </row>
    <row r="279" customFormat="false" ht="14.25" hidden="false" customHeight="false" outlineLevel="0" collapsed="false">
      <c r="B279" s="2"/>
    </row>
    <row r="280" customFormat="false" ht="14.25" hidden="false" customHeight="false" outlineLevel="0" collapsed="false">
      <c r="B280" s="2"/>
    </row>
    <row r="281" customFormat="false" ht="14.25" hidden="false" customHeight="false" outlineLevel="0" collapsed="false">
      <c r="B281" s="2"/>
    </row>
    <row r="282" customFormat="false" ht="14.25" hidden="false" customHeight="false" outlineLevel="0" collapsed="false">
      <c r="B282" s="2"/>
    </row>
    <row r="283" customFormat="false" ht="14.25" hidden="false" customHeight="false" outlineLevel="0" collapsed="false">
      <c r="B283" s="2"/>
    </row>
    <row r="284" customFormat="false" ht="14.25" hidden="false" customHeight="false" outlineLevel="0" collapsed="false">
      <c r="B284" s="2"/>
    </row>
    <row r="285" customFormat="false" ht="14.25" hidden="false" customHeight="false" outlineLevel="0" collapsed="false">
      <c r="B285" s="2"/>
    </row>
    <row r="286" customFormat="false" ht="14.25" hidden="false" customHeight="false" outlineLevel="0" collapsed="false">
      <c r="B286" s="2"/>
    </row>
    <row r="287" customFormat="false" ht="14.25" hidden="false" customHeight="false" outlineLevel="0" collapsed="false">
      <c r="B287" s="2"/>
    </row>
    <row r="288" customFormat="false" ht="14.25" hidden="false" customHeight="false" outlineLevel="0" collapsed="false">
      <c r="B288" s="2"/>
    </row>
    <row r="289" customFormat="false" ht="14.25" hidden="false" customHeight="false" outlineLevel="0" collapsed="false">
      <c r="B289" s="2"/>
    </row>
    <row r="290" customFormat="false" ht="14.25" hidden="false" customHeight="false" outlineLevel="0" collapsed="false">
      <c r="B290" s="2"/>
    </row>
    <row r="291" customFormat="false" ht="14.25" hidden="false" customHeight="false" outlineLevel="0" collapsed="false">
      <c r="B291" s="2"/>
    </row>
    <row r="292" customFormat="false" ht="14.25" hidden="false" customHeight="false" outlineLevel="0" collapsed="false">
      <c r="B292" s="2"/>
    </row>
    <row r="293" customFormat="false" ht="14.25" hidden="false" customHeight="false" outlineLevel="0" collapsed="false">
      <c r="B293" s="2"/>
    </row>
    <row r="294" customFormat="false" ht="14.25" hidden="false" customHeight="false" outlineLevel="0" collapsed="false">
      <c r="B294" s="2"/>
    </row>
    <row r="295" customFormat="false" ht="14.25" hidden="false" customHeight="false" outlineLevel="0" collapsed="false">
      <c r="B295" s="2"/>
    </row>
    <row r="296" customFormat="false" ht="14.25" hidden="false" customHeight="false" outlineLevel="0" collapsed="false">
      <c r="B296" s="2"/>
    </row>
    <row r="297" customFormat="false" ht="14.25" hidden="false" customHeight="false" outlineLevel="0" collapsed="false">
      <c r="B297" s="2"/>
    </row>
    <row r="298" customFormat="false" ht="14.25" hidden="false" customHeight="false" outlineLevel="0" collapsed="false">
      <c r="B298" s="2"/>
    </row>
    <row r="299" customFormat="false" ht="14.25" hidden="false" customHeight="false" outlineLevel="0" collapsed="false">
      <c r="B299" s="2"/>
    </row>
    <row r="300" customFormat="false" ht="14.25" hidden="false" customHeight="false" outlineLevel="0" collapsed="false">
      <c r="B300" s="2"/>
    </row>
    <row r="301" customFormat="false" ht="14.25" hidden="false" customHeight="false" outlineLevel="0" collapsed="false">
      <c r="B301" s="2"/>
    </row>
    <row r="302" customFormat="false" ht="14.25" hidden="false" customHeight="false" outlineLevel="0" collapsed="false">
      <c r="B302" s="2"/>
    </row>
    <row r="303" customFormat="false" ht="14.25" hidden="false" customHeight="false" outlineLevel="0" collapsed="false">
      <c r="B303" s="2"/>
    </row>
    <row r="304" customFormat="false" ht="14.25" hidden="false" customHeight="false" outlineLevel="0" collapsed="false">
      <c r="B304" s="2"/>
    </row>
    <row r="305" customFormat="false" ht="14.25" hidden="false" customHeight="false" outlineLevel="0" collapsed="false">
      <c r="B305" s="2"/>
    </row>
    <row r="306" customFormat="false" ht="14.25" hidden="false" customHeight="false" outlineLevel="0" collapsed="false">
      <c r="B306" s="2"/>
    </row>
    <row r="307" customFormat="false" ht="14.25" hidden="false" customHeight="false" outlineLevel="0" collapsed="false">
      <c r="B307" s="2"/>
    </row>
    <row r="308" customFormat="false" ht="14.25" hidden="false" customHeight="false" outlineLevel="0" collapsed="false">
      <c r="B308" s="2"/>
    </row>
    <row r="309" customFormat="false" ht="14.25" hidden="false" customHeight="false" outlineLevel="0" collapsed="false">
      <c r="B309" s="2"/>
    </row>
    <row r="310" customFormat="false" ht="14.25" hidden="false" customHeight="false" outlineLevel="0" collapsed="false">
      <c r="B310" s="2"/>
    </row>
    <row r="311" customFormat="false" ht="14.25" hidden="false" customHeight="false" outlineLevel="0" collapsed="false">
      <c r="B311" s="2"/>
    </row>
    <row r="312" customFormat="false" ht="14.25" hidden="false" customHeight="false" outlineLevel="0" collapsed="false">
      <c r="B312" s="2"/>
    </row>
    <row r="313" customFormat="false" ht="14.25" hidden="false" customHeight="false" outlineLevel="0" collapsed="false">
      <c r="B313" s="2"/>
    </row>
    <row r="314" customFormat="false" ht="14.25" hidden="false" customHeight="false" outlineLevel="0" collapsed="false">
      <c r="B314" s="2"/>
    </row>
    <row r="315" customFormat="false" ht="14.25" hidden="false" customHeight="false" outlineLevel="0" collapsed="false">
      <c r="B315" s="2"/>
    </row>
    <row r="316" customFormat="false" ht="14.25" hidden="false" customHeight="false" outlineLevel="0" collapsed="false">
      <c r="B316" s="2"/>
    </row>
    <row r="317" customFormat="false" ht="14.25" hidden="false" customHeight="false" outlineLevel="0" collapsed="false">
      <c r="B317" s="2"/>
    </row>
    <row r="318" customFormat="false" ht="14.25" hidden="false" customHeight="false" outlineLevel="0" collapsed="false">
      <c r="B318" s="2"/>
    </row>
    <row r="319" customFormat="false" ht="14.25" hidden="false" customHeight="false" outlineLevel="0" collapsed="false">
      <c r="B319" s="2"/>
    </row>
    <row r="320" customFormat="false" ht="14.25" hidden="false" customHeight="false" outlineLevel="0" collapsed="false">
      <c r="B320" s="2"/>
    </row>
    <row r="321" customFormat="false" ht="14.25" hidden="false" customHeight="false" outlineLevel="0" collapsed="false">
      <c r="B321" s="2"/>
    </row>
    <row r="322" customFormat="false" ht="14.25" hidden="false" customHeight="false" outlineLevel="0" collapsed="false">
      <c r="B322" s="2"/>
    </row>
    <row r="323" customFormat="false" ht="14.25" hidden="false" customHeight="false" outlineLevel="0" collapsed="false">
      <c r="B323" s="2"/>
    </row>
    <row r="324" customFormat="false" ht="14.25" hidden="false" customHeight="false" outlineLevel="0" collapsed="false">
      <c r="B324" s="2"/>
    </row>
    <row r="325" customFormat="false" ht="14.25" hidden="false" customHeight="false" outlineLevel="0" collapsed="false">
      <c r="B325" s="2"/>
    </row>
    <row r="326" customFormat="false" ht="14.25" hidden="false" customHeight="false" outlineLevel="0" collapsed="false">
      <c r="B326" s="2"/>
    </row>
    <row r="327" customFormat="false" ht="14.25" hidden="false" customHeight="false" outlineLevel="0" collapsed="false">
      <c r="B327" s="2"/>
    </row>
    <row r="328" customFormat="false" ht="14.25" hidden="false" customHeight="false" outlineLevel="0" collapsed="false">
      <c r="B328" s="2"/>
    </row>
    <row r="329" customFormat="false" ht="14.25" hidden="false" customHeight="false" outlineLevel="0" collapsed="false">
      <c r="B329" s="2"/>
    </row>
    <row r="330" customFormat="false" ht="14.25" hidden="false" customHeight="false" outlineLevel="0" collapsed="false">
      <c r="B330" s="2"/>
    </row>
    <row r="331" customFormat="false" ht="14.25" hidden="false" customHeight="false" outlineLevel="0" collapsed="false">
      <c r="B331" s="2"/>
    </row>
    <row r="332" customFormat="false" ht="14.25" hidden="false" customHeight="false" outlineLevel="0" collapsed="false">
      <c r="B332" s="2"/>
    </row>
    <row r="333" customFormat="false" ht="14.25" hidden="false" customHeight="false" outlineLevel="0" collapsed="false">
      <c r="B333" s="2"/>
    </row>
    <row r="334" customFormat="false" ht="14.25" hidden="false" customHeight="false" outlineLevel="0" collapsed="false">
      <c r="B334" s="2"/>
    </row>
    <row r="335" customFormat="false" ht="14.25" hidden="false" customHeight="false" outlineLevel="0" collapsed="false">
      <c r="B335" s="2"/>
    </row>
    <row r="336" customFormat="false" ht="14.25" hidden="false" customHeight="false" outlineLevel="0" collapsed="false">
      <c r="B336" s="2"/>
    </row>
    <row r="337" customFormat="false" ht="14.25" hidden="false" customHeight="false" outlineLevel="0" collapsed="false">
      <c r="B337" s="2"/>
    </row>
    <row r="338" customFormat="false" ht="14.25" hidden="false" customHeight="false" outlineLevel="0" collapsed="false">
      <c r="B338" s="2"/>
    </row>
    <row r="339" customFormat="false" ht="14.25" hidden="false" customHeight="false" outlineLevel="0" collapsed="false">
      <c r="B339" s="2"/>
    </row>
    <row r="340" customFormat="false" ht="14.25" hidden="false" customHeight="false" outlineLevel="0" collapsed="false">
      <c r="B340" s="2"/>
    </row>
    <row r="341" customFormat="false" ht="14.25" hidden="false" customHeight="false" outlineLevel="0" collapsed="false">
      <c r="B341" s="2"/>
    </row>
    <row r="342" customFormat="false" ht="14.25" hidden="false" customHeight="false" outlineLevel="0" collapsed="false">
      <c r="B342" s="2"/>
    </row>
    <row r="343" customFormat="false" ht="14.25" hidden="false" customHeight="false" outlineLevel="0" collapsed="false">
      <c r="B343" s="2"/>
    </row>
    <row r="344" customFormat="false" ht="14.25" hidden="false" customHeight="false" outlineLevel="0" collapsed="false">
      <c r="B344" s="2"/>
    </row>
    <row r="345" customFormat="false" ht="14.25" hidden="false" customHeight="false" outlineLevel="0" collapsed="false">
      <c r="B345" s="2"/>
    </row>
    <row r="346" customFormat="false" ht="14.25" hidden="false" customHeight="false" outlineLevel="0" collapsed="false">
      <c r="B346" s="2"/>
    </row>
    <row r="347" customFormat="false" ht="14.25" hidden="false" customHeight="false" outlineLevel="0" collapsed="false">
      <c r="B347" s="2"/>
    </row>
    <row r="348" customFormat="false" ht="14.25" hidden="false" customHeight="false" outlineLevel="0" collapsed="false">
      <c r="B348" s="2"/>
    </row>
    <row r="349" customFormat="false" ht="14.25" hidden="false" customHeight="false" outlineLevel="0" collapsed="false">
      <c r="B349" s="2"/>
    </row>
    <row r="350" customFormat="false" ht="14.25" hidden="false" customHeight="false" outlineLevel="0" collapsed="false">
      <c r="B350" s="2"/>
    </row>
    <row r="351" customFormat="false" ht="14.25" hidden="false" customHeight="false" outlineLevel="0" collapsed="false">
      <c r="B351" s="2"/>
    </row>
    <row r="352" customFormat="false" ht="14.25" hidden="false" customHeight="false" outlineLevel="0" collapsed="false">
      <c r="B352" s="2"/>
    </row>
    <row r="353" customFormat="false" ht="14.25" hidden="false" customHeight="false" outlineLevel="0" collapsed="false">
      <c r="B353" s="2"/>
    </row>
    <row r="354" customFormat="false" ht="14.25" hidden="false" customHeight="false" outlineLevel="0" collapsed="false">
      <c r="B354" s="2"/>
    </row>
    <row r="355" customFormat="false" ht="14.25" hidden="false" customHeight="false" outlineLevel="0" collapsed="false">
      <c r="B355" s="2"/>
    </row>
    <row r="356" customFormat="false" ht="14.25" hidden="false" customHeight="false" outlineLevel="0" collapsed="false">
      <c r="B356" s="2"/>
    </row>
    <row r="357" customFormat="false" ht="14.25" hidden="false" customHeight="false" outlineLevel="0" collapsed="false">
      <c r="B357" s="2"/>
    </row>
    <row r="358" customFormat="false" ht="14.25" hidden="false" customHeight="false" outlineLevel="0" collapsed="false">
      <c r="B358" s="2"/>
    </row>
    <row r="359" customFormat="false" ht="14.25" hidden="false" customHeight="false" outlineLevel="0" collapsed="false">
      <c r="B359" s="2"/>
    </row>
    <row r="360" customFormat="false" ht="14.25" hidden="false" customHeight="false" outlineLevel="0" collapsed="false">
      <c r="B360" s="2"/>
    </row>
    <row r="361" customFormat="false" ht="14.25" hidden="false" customHeight="false" outlineLevel="0" collapsed="false">
      <c r="B361" s="2"/>
    </row>
    <row r="362" customFormat="false" ht="14.25" hidden="false" customHeight="false" outlineLevel="0" collapsed="false">
      <c r="B362" s="2"/>
    </row>
    <row r="363" customFormat="false" ht="14.25" hidden="false" customHeight="false" outlineLevel="0" collapsed="false">
      <c r="B363" s="2"/>
    </row>
    <row r="364" customFormat="false" ht="14.25" hidden="false" customHeight="false" outlineLevel="0" collapsed="false">
      <c r="B364" s="2"/>
    </row>
    <row r="365" customFormat="false" ht="14.25" hidden="false" customHeight="false" outlineLevel="0" collapsed="false">
      <c r="B365" s="2"/>
    </row>
    <row r="366" customFormat="false" ht="14.25" hidden="false" customHeight="false" outlineLevel="0" collapsed="false">
      <c r="B366" s="2"/>
    </row>
    <row r="367" customFormat="false" ht="14.25" hidden="false" customHeight="false" outlineLevel="0" collapsed="false">
      <c r="B367" s="2"/>
    </row>
    <row r="368" customFormat="false" ht="14.25" hidden="false" customHeight="false" outlineLevel="0" collapsed="false">
      <c r="B368" s="2"/>
    </row>
    <row r="369" customFormat="false" ht="14.25" hidden="false" customHeight="false" outlineLevel="0" collapsed="false">
      <c r="B369" s="2"/>
    </row>
    <row r="370" customFormat="false" ht="14.25" hidden="false" customHeight="false" outlineLevel="0" collapsed="false">
      <c r="B370" s="2"/>
    </row>
    <row r="371" customFormat="false" ht="14.25" hidden="false" customHeight="false" outlineLevel="0" collapsed="false">
      <c r="B371" s="2"/>
    </row>
    <row r="372" customFormat="false" ht="14.25" hidden="false" customHeight="false" outlineLevel="0" collapsed="false">
      <c r="B372" s="2"/>
    </row>
    <row r="373" customFormat="false" ht="14.25" hidden="false" customHeight="false" outlineLevel="0" collapsed="false">
      <c r="B373" s="2"/>
    </row>
    <row r="374" customFormat="false" ht="14.25" hidden="false" customHeight="false" outlineLevel="0" collapsed="false">
      <c r="B374" s="2"/>
    </row>
    <row r="375" customFormat="false" ht="14.25" hidden="false" customHeight="false" outlineLevel="0" collapsed="false">
      <c r="B375" s="2"/>
    </row>
    <row r="376" customFormat="false" ht="14.25" hidden="false" customHeight="false" outlineLevel="0" collapsed="false">
      <c r="B376" s="2"/>
    </row>
    <row r="377" customFormat="false" ht="14.25" hidden="false" customHeight="false" outlineLevel="0" collapsed="false">
      <c r="B377" s="2"/>
    </row>
    <row r="378" customFormat="false" ht="14.25" hidden="false" customHeight="false" outlineLevel="0" collapsed="false">
      <c r="B378" s="2"/>
    </row>
    <row r="379" customFormat="false" ht="14.25" hidden="false" customHeight="false" outlineLevel="0" collapsed="false">
      <c r="B379" s="2"/>
    </row>
    <row r="380" customFormat="false" ht="14.25" hidden="false" customHeight="false" outlineLevel="0" collapsed="false">
      <c r="B380" s="2"/>
    </row>
    <row r="381" customFormat="false" ht="14.25" hidden="false" customHeight="false" outlineLevel="0" collapsed="false">
      <c r="B381" s="2"/>
    </row>
    <row r="382" customFormat="false" ht="14.25" hidden="false" customHeight="false" outlineLevel="0" collapsed="false">
      <c r="B382" s="2"/>
    </row>
    <row r="383" customFormat="false" ht="14.25" hidden="false" customHeight="false" outlineLevel="0" collapsed="false">
      <c r="B383" s="2"/>
    </row>
    <row r="384" customFormat="false" ht="14.25" hidden="false" customHeight="false" outlineLevel="0" collapsed="false">
      <c r="B384" s="2"/>
    </row>
    <row r="385" customFormat="false" ht="14.25" hidden="false" customHeight="false" outlineLevel="0" collapsed="false">
      <c r="B385" s="2"/>
    </row>
    <row r="386" customFormat="false" ht="14.25" hidden="false" customHeight="false" outlineLevel="0" collapsed="false">
      <c r="B386" s="2"/>
    </row>
    <row r="387" customFormat="false" ht="14.25" hidden="false" customHeight="false" outlineLevel="0" collapsed="false">
      <c r="B387" s="2"/>
    </row>
    <row r="388" customFormat="false" ht="14.25" hidden="false" customHeight="false" outlineLevel="0" collapsed="false">
      <c r="B388" s="2"/>
    </row>
    <row r="389" customFormat="false" ht="14.25" hidden="false" customHeight="false" outlineLevel="0" collapsed="false">
      <c r="B389" s="2"/>
    </row>
    <row r="390" customFormat="false" ht="14.25" hidden="false" customHeight="false" outlineLevel="0" collapsed="false">
      <c r="B390" s="2"/>
    </row>
    <row r="391" customFormat="false" ht="14.25" hidden="false" customHeight="false" outlineLevel="0" collapsed="false">
      <c r="B391" s="2"/>
    </row>
    <row r="392" customFormat="false" ht="14.25" hidden="false" customHeight="false" outlineLevel="0" collapsed="false">
      <c r="B392" s="2"/>
    </row>
    <row r="393" customFormat="false" ht="14.25" hidden="false" customHeight="false" outlineLevel="0" collapsed="false">
      <c r="B393" s="2"/>
    </row>
    <row r="394" customFormat="false" ht="14.25" hidden="false" customHeight="false" outlineLevel="0" collapsed="false">
      <c r="B394" s="2"/>
    </row>
    <row r="395" customFormat="false" ht="14.25" hidden="false" customHeight="false" outlineLevel="0" collapsed="false">
      <c r="B395" s="2"/>
    </row>
    <row r="396" customFormat="false" ht="14.25" hidden="false" customHeight="false" outlineLevel="0" collapsed="false">
      <c r="B396" s="2"/>
    </row>
    <row r="397" customFormat="false" ht="14.25" hidden="false" customHeight="false" outlineLevel="0" collapsed="false">
      <c r="B397" s="2"/>
    </row>
    <row r="398" customFormat="false" ht="14.25" hidden="false" customHeight="false" outlineLevel="0" collapsed="false">
      <c r="B398" s="2"/>
    </row>
    <row r="399" customFormat="false" ht="14.25" hidden="false" customHeight="false" outlineLevel="0" collapsed="false">
      <c r="B399" s="2"/>
    </row>
    <row r="400" customFormat="false" ht="14.25" hidden="false" customHeight="false" outlineLevel="0" collapsed="false">
      <c r="B400" s="2"/>
    </row>
    <row r="401" customFormat="false" ht="14.25" hidden="false" customHeight="false" outlineLevel="0" collapsed="false">
      <c r="B401" s="2"/>
    </row>
    <row r="402" customFormat="false" ht="14.25" hidden="false" customHeight="false" outlineLevel="0" collapsed="false">
      <c r="B402" s="2"/>
    </row>
    <row r="403" customFormat="false" ht="14.25" hidden="false" customHeight="false" outlineLevel="0" collapsed="false">
      <c r="B403" s="2"/>
    </row>
    <row r="404" customFormat="false" ht="14.25" hidden="false" customHeight="false" outlineLevel="0" collapsed="false">
      <c r="B404" s="2"/>
    </row>
    <row r="405" customFormat="false" ht="14.25" hidden="false" customHeight="false" outlineLevel="0" collapsed="false">
      <c r="B405" s="2"/>
    </row>
    <row r="406" customFormat="false" ht="14.25" hidden="false" customHeight="false" outlineLevel="0" collapsed="false">
      <c r="B406" s="2"/>
    </row>
    <row r="407" customFormat="false" ht="14.25" hidden="false" customHeight="false" outlineLevel="0" collapsed="false">
      <c r="B407" s="2"/>
    </row>
    <row r="408" customFormat="false" ht="14.25" hidden="false" customHeight="false" outlineLevel="0" collapsed="false">
      <c r="B408" s="2"/>
    </row>
    <row r="409" customFormat="false" ht="14.25" hidden="false" customHeight="false" outlineLevel="0" collapsed="false">
      <c r="B409" s="2"/>
    </row>
    <row r="410" customFormat="false" ht="14.25" hidden="false" customHeight="false" outlineLevel="0" collapsed="false">
      <c r="B410" s="2"/>
    </row>
    <row r="411" customFormat="false" ht="14.25" hidden="false" customHeight="false" outlineLevel="0" collapsed="false">
      <c r="B411" s="2"/>
    </row>
    <row r="412" customFormat="false" ht="14.25" hidden="false" customHeight="false" outlineLevel="0" collapsed="false">
      <c r="B412" s="2"/>
    </row>
    <row r="413" customFormat="false" ht="14.25" hidden="false" customHeight="false" outlineLevel="0" collapsed="false">
      <c r="B413" s="2"/>
    </row>
    <row r="414" customFormat="false" ht="14.25" hidden="false" customHeight="false" outlineLevel="0" collapsed="false">
      <c r="B414" s="2"/>
    </row>
    <row r="415" customFormat="false" ht="14.25" hidden="false" customHeight="false" outlineLevel="0" collapsed="false">
      <c r="B415" s="2"/>
    </row>
    <row r="416" customFormat="false" ht="14.25" hidden="false" customHeight="false" outlineLevel="0" collapsed="false">
      <c r="B416" s="2"/>
    </row>
    <row r="417" customFormat="false" ht="14.25" hidden="false" customHeight="false" outlineLevel="0" collapsed="false">
      <c r="B417" s="2"/>
    </row>
    <row r="418" customFormat="false" ht="14.25" hidden="false" customHeight="false" outlineLevel="0" collapsed="false">
      <c r="B418" s="2"/>
    </row>
    <row r="419" customFormat="false" ht="14.25" hidden="false" customHeight="false" outlineLevel="0" collapsed="false">
      <c r="B419" s="2"/>
    </row>
    <row r="420" customFormat="false" ht="14.25" hidden="false" customHeight="false" outlineLevel="0" collapsed="false">
      <c r="B420" s="2"/>
    </row>
    <row r="421" customFormat="false" ht="14.25" hidden="false" customHeight="false" outlineLevel="0" collapsed="false">
      <c r="B421" s="2"/>
    </row>
    <row r="422" customFormat="false" ht="14.25" hidden="false" customHeight="false" outlineLevel="0" collapsed="false">
      <c r="B422" s="2"/>
    </row>
    <row r="423" customFormat="false" ht="14.25" hidden="false" customHeight="false" outlineLevel="0" collapsed="false">
      <c r="B423" s="2"/>
    </row>
    <row r="424" customFormat="false" ht="14.25" hidden="false" customHeight="false" outlineLevel="0" collapsed="false">
      <c r="B424" s="2"/>
    </row>
    <row r="425" customFormat="false" ht="14.25" hidden="false" customHeight="false" outlineLevel="0" collapsed="false">
      <c r="B425" s="2"/>
    </row>
    <row r="426" customFormat="false" ht="14.25" hidden="false" customHeight="false" outlineLevel="0" collapsed="false">
      <c r="B426" s="2"/>
    </row>
    <row r="427" customFormat="false" ht="14.25" hidden="false" customHeight="false" outlineLevel="0" collapsed="false">
      <c r="B427" s="2"/>
    </row>
    <row r="428" customFormat="false" ht="14.25" hidden="false" customHeight="false" outlineLevel="0" collapsed="false">
      <c r="B428" s="2"/>
    </row>
    <row r="429" customFormat="false" ht="14.25" hidden="false" customHeight="false" outlineLevel="0" collapsed="false">
      <c r="B429" s="2"/>
    </row>
    <row r="430" customFormat="false" ht="14.25" hidden="false" customHeight="false" outlineLevel="0" collapsed="false">
      <c r="B430" s="2"/>
    </row>
    <row r="431" customFormat="false" ht="14.25" hidden="false" customHeight="false" outlineLevel="0" collapsed="false">
      <c r="B431" s="2"/>
    </row>
    <row r="432" customFormat="false" ht="14.25" hidden="false" customHeight="false" outlineLevel="0" collapsed="false">
      <c r="B432" s="2"/>
    </row>
    <row r="433" customFormat="false" ht="14.25" hidden="false" customHeight="false" outlineLevel="0" collapsed="false">
      <c r="B433" s="2"/>
    </row>
    <row r="434" customFormat="false" ht="14.25" hidden="false" customHeight="false" outlineLevel="0" collapsed="false">
      <c r="B434" s="2"/>
    </row>
    <row r="435" customFormat="false" ht="14.25" hidden="false" customHeight="false" outlineLevel="0" collapsed="false">
      <c r="B435" s="2"/>
    </row>
    <row r="436" customFormat="false" ht="14.25" hidden="false" customHeight="false" outlineLevel="0" collapsed="false">
      <c r="B436" s="2"/>
    </row>
    <row r="437" customFormat="false" ht="14.25" hidden="false" customHeight="false" outlineLevel="0" collapsed="false">
      <c r="B437" s="2"/>
    </row>
    <row r="438" customFormat="false" ht="14.25" hidden="false" customHeight="false" outlineLevel="0" collapsed="false">
      <c r="B438" s="2"/>
    </row>
    <row r="439" customFormat="false" ht="14.25" hidden="false" customHeight="false" outlineLevel="0" collapsed="false">
      <c r="B439" s="2"/>
    </row>
    <row r="440" customFormat="false" ht="14.25" hidden="false" customHeight="false" outlineLevel="0" collapsed="false">
      <c r="B440" s="2"/>
    </row>
    <row r="441" customFormat="false" ht="14.25" hidden="false" customHeight="false" outlineLevel="0" collapsed="false">
      <c r="B441" s="2"/>
    </row>
    <row r="442" customFormat="false" ht="14.25" hidden="false" customHeight="false" outlineLevel="0" collapsed="false">
      <c r="B442" s="2"/>
    </row>
    <row r="443" customFormat="false" ht="14.25" hidden="false" customHeight="false" outlineLevel="0" collapsed="false">
      <c r="B443" s="2"/>
    </row>
    <row r="444" customFormat="false" ht="14.25" hidden="false" customHeight="false" outlineLevel="0" collapsed="false">
      <c r="B444" s="2"/>
    </row>
    <row r="445" customFormat="false" ht="14.25" hidden="false" customHeight="false" outlineLevel="0" collapsed="false">
      <c r="B445" s="2"/>
    </row>
    <row r="446" customFormat="false" ht="14.25" hidden="false" customHeight="false" outlineLevel="0" collapsed="false">
      <c r="B446" s="2"/>
    </row>
    <row r="447" customFormat="false" ht="14.25" hidden="false" customHeight="false" outlineLevel="0" collapsed="false">
      <c r="B447" s="2"/>
    </row>
    <row r="448" customFormat="false" ht="14.25" hidden="false" customHeight="false" outlineLevel="0" collapsed="false">
      <c r="B448" s="2"/>
    </row>
    <row r="449" customFormat="false" ht="14.25" hidden="false" customHeight="false" outlineLevel="0" collapsed="false">
      <c r="B449" s="2"/>
    </row>
    <row r="450" customFormat="false" ht="14.25" hidden="false" customHeight="false" outlineLevel="0" collapsed="false">
      <c r="B450" s="2"/>
    </row>
    <row r="451" customFormat="false" ht="14.25" hidden="false" customHeight="false" outlineLevel="0" collapsed="false">
      <c r="B451" s="2"/>
    </row>
    <row r="452" customFormat="false" ht="14.25" hidden="false" customHeight="false" outlineLevel="0" collapsed="false">
      <c r="B452" s="2"/>
    </row>
    <row r="453" customFormat="false" ht="14.25" hidden="false" customHeight="false" outlineLevel="0" collapsed="false">
      <c r="B453" s="2"/>
    </row>
    <row r="454" customFormat="false" ht="14.25" hidden="false" customHeight="false" outlineLevel="0" collapsed="false">
      <c r="B454" s="2"/>
    </row>
    <row r="455" customFormat="false" ht="14.25" hidden="false" customHeight="false" outlineLevel="0" collapsed="false">
      <c r="B455" s="2"/>
    </row>
    <row r="456" customFormat="false" ht="14.25" hidden="false" customHeight="false" outlineLevel="0" collapsed="false">
      <c r="B456" s="2"/>
    </row>
    <row r="457" customFormat="false" ht="14.25" hidden="false" customHeight="false" outlineLevel="0" collapsed="false">
      <c r="B457" s="2"/>
    </row>
    <row r="458" customFormat="false" ht="14.25" hidden="false" customHeight="false" outlineLevel="0" collapsed="false">
      <c r="B458" s="2"/>
    </row>
    <row r="459" customFormat="false" ht="14.25" hidden="false" customHeight="false" outlineLevel="0" collapsed="false">
      <c r="B459" s="2"/>
    </row>
    <row r="460" customFormat="false" ht="14.25" hidden="false" customHeight="false" outlineLevel="0" collapsed="false">
      <c r="B460" s="2"/>
    </row>
    <row r="461" customFormat="false" ht="14.25" hidden="false" customHeight="false" outlineLevel="0" collapsed="false">
      <c r="B461" s="2"/>
    </row>
    <row r="462" customFormat="false" ht="14.25" hidden="false" customHeight="false" outlineLevel="0" collapsed="false">
      <c r="B462" s="2"/>
    </row>
    <row r="463" customFormat="false" ht="14.25" hidden="false" customHeight="false" outlineLevel="0" collapsed="false">
      <c r="B463" s="2"/>
    </row>
    <row r="464" customFormat="false" ht="14.25" hidden="false" customHeight="false" outlineLevel="0" collapsed="false">
      <c r="B464" s="2"/>
    </row>
    <row r="465" customFormat="false" ht="14.25" hidden="false" customHeight="false" outlineLevel="0" collapsed="false">
      <c r="B465" s="2"/>
    </row>
    <row r="466" customFormat="false" ht="14.25" hidden="false" customHeight="false" outlineLevel="0" collapsed="false">
      <c r="B466" s="2"/>
    </row>
    <row r="467" customFormat="false" ht="14.25" hidden="false" customHeight="false" outlineLevel="0" collapsed="false">
      <c r="B467" s="2"/>
    </row>
    <row r="468" customFormat="false" ht="14.25" hidden="false" customHeight="false" outlineLevel="0" collapsed="false">
      <c r="B468" s="2"/>
    </row>
    <row r="469" customFormat="false" ht="14.25" hidden="false" customHeight="false" outlineLevel="0" collapsed="false">
      <c r="B469" s="2"/>
    </row>
    <row r="470" customFormat="false" ht="14.25" hidden="false" customHeight="false" outlineLevel="0" collapsed="false">
      <c r="B470" s="2"/>
    </row>
    <row r="471" customFormat="false" ht="14.25" hidden="false" customHeight="false" outlineLevel="0" collapsed="false">
      <c r="B471" s="2"/>
    </row>
    <row r="472" customFormat="false" ht="14.25" hidden="false" customHeight="false" outlineLevel="0" collapsed="false">
      <c r="B472" s="2"/>
    </row>
    <row r="473" customFormat="false" ht="14.25" hidden="false" customHeight="false" outlineLevel="0" collapsed="false">
      <c r="B473" s="2"/>
    </row>
    <row r="474" customFormat="false" ht="14.25" hidden="false" customHeight="false" outlineLevel="0" collapsed="false">
      <c r="B474" s="2"/>
    </row>
    <row r="475" customFormat="false" ht="14.25" hidden="false" customHeight="false" outlineLevel="0" collapsed="false">
      <c r="B475" s="2"/>
    </row>
    <row r="476" customFormat="false" ht="14.25" hidden="false" customHeight="false" outlineLevel="0" collapsed="false">
      <c r="B476" s="2"/>
    </row>
    <row r="477" customFormat="false" ht="14.25" hidden="false" customHeight="false" outlineLevel="0" collapsed="false">
      <c r="B477" s="2"/>
    </row>
    <row r="478" customFormat="false" ht="14.25" hidden="false" customHeight="false" outlineLevel="0" collapsed="false">
      <c r="B478" s="2"/>
    </row>
    <row r="479" customFormat="false" ht="14.25" hidden="false" customHeight="false" outlineLevel="0" collapsed="false">
      <c r="B479" s="2"/>
    </row>
    <row r="480" customFormat="false" ht="14.25" hidden="false" customHeight="false" outlineLevel="0" collapsed="false">
      <c r="B480" s="2"/>
    </row>
    <row r="481" customFormat="false" ht="14.25" hidden="false" customHeight="false" outlineLevel="0" collapsed="false">
      <c r="B481" s="2"/>
    </row>
    <row r="482" customFormat="false" ht="14.25" hidden="false" customHeight="false" outlineLevel="0" collapsed="false">
      <c r="B482" s="2"/>
    </row>
    <row r="483" customFormat="false" ht="14.25" hidden="false" customHeight="false" outlineLevel="0" collapsed="false">
      <c r="B483" s="2"/>
    </row>
    <row r="484" customFormat="false" ht="14.25" hidden="false" customHeight="false" outlineLevel="0" collapsed="false">
      <c r="B484" s="2"/>
    </row>
    <row r="485" customFormat="false" ht="14.25" hidden="false" customHeight="false" outlineLevel="0" collapsed="false">
      <c r="B485" s="2"/>
    </row>
    <row r="486" customFormat="false" ht="14.25" hidden="false" customHeight="false" outlineLevel="0" collapsed="false">
      <c r="B486" s="2"/>
    </row>
    <row r="487" customFormat="false" ht="14.25" hidden="false" customHeight="false" outlineLevel="0" collapsed="false">
      <c r="B487" s="2"/>
    </row>
    <row r="488" customFormat="false" ht="14.25" hidden="false" customHeight="false" outlineLevel="0" collapsed="false">
      <c r="B488" s="2"/>
    </row>
    <row r="489" customFormat="false" ht="14.25" hidden="false" customHeight="false" outlineLevel="0" collapsed="false">
      <c r="B489" s="2"/>
    </row>
    <row r="490" customFormat="false" ht="14.25" hidden="false" customHeight="false" outlineLevel="0" collapsed="false">
      <c r="B490" s="2"/>
    </row>
    <row r="491" customFormat="false" ht="14.25" hidden="false" customHeight="false" outlineLevel="0" collapsed="false">
      <c r="B491" s="2"/>
    </row>
    <row r="492" customFormat="false" ht="14.25" hidden="false" customHeight="false" outlineLevel="0" collapsed="false">
      <c r="B492" s="2"/>
    </row>
    <row r="493" customFormat="false" ht="14.25" hidden="false" customHeight="false" outlineLevel="0" collapsed="false">
      <c r="B493" s="2"/>
    </row>
    <row r="494" customFormat="false" ht="14.25" hidden="false" customHeight="false" outlineLevel="0" collapsed="false">
      <c r="B494" s="2"/>
    </row>
    <row r="495" customFormat="false" ht="14.25" hidden="false" customHeight="false" outlineLevel="0" collapsed="false">
      <c r="B495" s="2"/>
    </row>
    <row r="496" customFormat="false" ht="14.25" hidden="false" customHeight="false" outlineLevel="0" collapsed="false">
      <c r="B496" s="2"/>
    </row>
    <row r="497" customFormat="false" ht="14.25" hidden="false" customHeight="false" outlineLevel="0" collapsed="false">
      <c r="B497" s="2"/>
    </row>
    <row r="498" customFormat="false" ht="14.25" hidden="false" customHeight="false" outlineLevel="0" collapsed="false">
      <c r="B498" s="2"/>
    </row>
    <row r="499" customFormat="false" ht="14.25" hidden="false" customHeight="false" outlineLevel="0" collapsed="false">
      <c r="B499" s="2"/>
    </row>
    <row r="500" customFormat="false" ht="14.25" hidden="false" customHeight="false" outlineLevel="0" collapsed="false">
      <c r="B500" s="2"/>
    </row>
    <row r="501" customFormat="false" ht="14.25" hidden="false" customHeight="false" outlineLevel="0" collapsed="false">
      <c r="B501" s="2"/>
    </row>
    <row r="502" customFormat="false" ht="14.25" hidden="false" customHeight="false" outlineLevel="0" collapsed="false">
      <c r="B502" s="2"/>
    </row>
    <row r="503" customFormat="false" ht="14.25" hidden="false" customHeight="false" outlineLevel="0" collapsed="false">
      <c r="B503" s="2"/>
    </row>
    <row r="504" customFormat="false" ht="14.25" hidden="false" customHeight="false" outlineLevel="0" collapsed="false">
      <c r="B504" s="2"/>
    </row>
    <row r="505" customFormat="false" ht="14.25" hidden="false" customHeight="false" outlineLevel="0" collapsed="false">
      <c r="B505" s="2"/>
    </row>
    <row r="506" customFormat="false" ht="14.25" hidden="false" customHeight="false" outlineLevel="0" collapsed="false">
      <c r="B506" s="2"/>
    </row>
    <row r="507" customFormat="false" ht="14.25" hidden="false" customHeight="false" outlineLevel="0" collapsed="false">
      <c r="B507" s="2"/>
    </row>
    <row r="508" customFormat="false" ht="14.25" hidden="false" customHeight="false" outlineLevel="0" collapsed="false">
      <c r="B508" s="2"/>
    </row>
    <row r="509" customFormat="false" ht="14.25" hidden="false" customHeight="false" outlineLevel="0" collapsed="false">
      <c r="B509" s="2"/>
    </row>
    <row r="510" customFormat="false" ht="14.25" hidden="false" customHeight="false" outlineLevel="0" collapsed="false">
      <c r="B510" s="2"/>
    </row>
    <row r="511" customFormat="false" ht="14.25" hidden="false" customHeight="false" outlineLevel="0" collapsed="false">
      <c r="B511" s="2"/>
    </row>
    <row r="512" customFormat="false" ht="14.25" hidden="false" customHeight="false" outlineLevel="0" collapsed="false">
      <c r="B512" s="2"/>
    </row>
    <row r="513" customFormat="false" ht="14.25" hidden="false" customHeight="false" outlineLevel="0" collapsed="false">
      <c r="B513" s="2"/>
    </row>
    <row r="514" customFormat="false" ht="14.25" hidden="false" customHeight="false" outlineLevel="0" collapsed="false">
      <c r="B514" s="2"/>
    </row>
    <row r="515" customFormat="false" ht="14.25" hidden="false" customHeight="false" outlineLevel="0" collapsed="false">
      <c r="B515" s="2"/>
    </row>
    <row r="516" customFormat="false" ht="14.25" hidden="false" customHeight="false" outlineLevel="0" collapsed="false">
      <c r="B516" s="2"/>
    </row>
    <row r="517" customFormat="false" ht="14.25" hidden="false" customHeight="false" outlineLevel="0" collapsed="false">
      <c r="B517" s="2"/>
    </row>
    <row r="518" customFormat="false" ht="14.25" hidden="false" customHeight="false" outlineLevel="0" collapsed="false">
      <c r="B518" s="2"/>
    </row>
    <row r="519" customFormat="false" ht="14.25" hidden="false" customHeight="false" outlineLevel="0" collapsed="false">
      <c r="B519" s="2"/>
    </row>
    <row r="520" customFormat="false" ht="14.25" hidden="false" customHeight="false" outlineLevel="0" collapsed="false">
      <c r="B520" s="2"/>
    </row>
    <row r="521" customFormat="false" ht="14.25" hidden="false" customHeight="false" outlineLevel="0" collapsed="false">
      <c r="B521" s="2"/>
    </row>
    <row r="522" customFormat="false" ht="14.25" hidden="false" customHeight="false" outlineLevel="0" collapsed="false">
      <c r="B522" s="2"/>
    </row>
    <row r="523" customFormat="false" ht="14.25" hidden="false" customHeight="false" outlineLevel="0" collapsed="false">
      <c r="B523" s="2"/>
    </row>
    <row r="524" customFormat="false" ht="14.25" hidden="false" customHeight="false" outlineLevel="0" collapsed="false">
      <c r="B524" s="2"/>
    </row>
    <row r="525" customFormat="false" ht="14.25" hidden="false" customHeight="false" outlineLevel="0" collapsed="false">
      <c r="B525" s="2"/>
    </row>
    <row r="526" customFormat="false" ht="14.25" hidden="false" customHeight="false" outlineLevel="0" collapsed="false">
      <c r="B526" s="2"/>
    </row>
    <row r="527" customFormat="false" ht="14.25" hidden="false" customHeight="false" outlineLevel="0" collapsed="false">
      <c r="B527" s="2"/>
    </row>
    <row r="528" customFormat="false" ht="14.25" hidden="false" customHeight="false" outlineLevel="0" collapsed="false">
      <c r="B528" s="2"/>
    </row>
    <row r="529" customFormat="false" ht="14.25" hidden="false" customHeight="false" outlineLevel="0" collapsed="false">
      <c r="B529" s="2"/>
    </row>
    <row r="530" customFormat="false" ht="14.25" hidden="false" customHeight="false" outlineLevel="0" collapsed="false">
      <c r="B530" s="2"/>
    </row>
    <row r="531" customFormat="false" ht="14.25" hidden="false" customHeight="false" outlineLevel="0" collapsed="false">
      <c r="B531" s="2"/>
    </row>
    <row r="532" customFormat="false" ht="14.25" hidden="false" customHeight="false" outlineLevel="0" collapsed="false">
      <c r="B532" s="2"/>
    </row>
    <row r="533" customFormat="false" ht="14.25" hidden="false" customHeight="false" outlineLevel="0" collapsed="false">
      <c r="B533" s="2"/>
    </row>
    <row r="534" customFormat="false" ht="14.25" hidden="false" customHeight="false" outlineLevel="0" collapsed="false">
      <c r="B534" s="2"/>
    </row>
    <row r="535" customFormat="false" ht="14.25" hidden="false" customHeight="false" outlineLevel="0" collapsed="false">
      <c r="B535" s="2"/>
    </row>
    <row r="536" customFormat="false" ht="14.25" hidden="false" customHeight="false" outlineLevel="0" collapsed="false">
      <c r="B536" s="2"/>
    </row>
    <row r="537" customFormat="false" ht="14.25" hidden="false" customHeight="false" outlineLevel="0" collapsed="false">
      <c r="B537" s="2"/>
    </row>
    <row r="538" customFormat="false" ht="14.25" hidden="false" customHeight="false" outlineLevel="0" collapsed="false">
      <c r="B538" s="2"/>
    </row>
    <row r="539" customFormat="false" ht="14.25" hidden="false" customHeight="false" outlineLevel="0" collapsed="false">
      <c r="B539" s="2"/>
    </row>
    <row r="540" customFormat="false" ht="14.25" hidden="false" customHeight="false" outlineLevel="0" collapsed="false">
      <c r="B540" s="2"/>
    </row>
    <row r="541" customFormat="false" ht="14.25" hidden="false" customHeight="false" outlineLevel="0" collapsed="false">
      <c r="B541" s="2"/>
    </row>
    <row r="542" customFormat="false" ht="14.25" hidden="false" customHeight="false" outlineLevel="0" collapsed="false">
      <c r="B542" s="2"/>
    </row>
    <row r="543" customFormat="false" ht="14.25" hidden="false" customHeight="false" outlineLevel="0" collapsed="false">
      <c r="B543" s="2"/>
    </row>
    <row r="544" customFormat="false" ht="14.25" hidden="false" customHeight="false" outlineLevel="0" collapsed="false">
      <c r="B544" s="2"/>
    </row>
    <row r="545" customFormat="false" ht="14.25" hidden="false" customHeight="false" outlineLevel="0" collapsed="false">
      <c r="B545" s="2"/>
    </row>
    <row r="546" customFormat="false" ht="14.25" hidden="false" customHeight="false" outlineLevel="0" collapsed="false">
      <c r="B546" s="2"/>
    </row>
    <row r="547" customFormat="false" ht="14.25" hidden="false" customHeight="false" outlineLevel="0" collapsed="false">
      <c r="B547" s="2"/>
    </row>
    <row r="548" customFormat="false" ht="14.25" hidden="false" customHeight="false" outlineLevel="0" collapsed="false">
      <c r="B548" s="2"/>
    </row>
    <row r="549" customFormat="false" ht="14.25" hidden="false" customHeight="false" outlineLevel="0" collapsed="false">
      <c r="B549" s="2"/>
    </row>
    <row r="550" customFormat="false" ht="14.25" hidden="false" customHeight="false" outlineLevel="0" collapsed="false">
      <c r="B550" s="2"/>
    </row>
    <row r="551" customFormat="false" ht="14.25" hidden="false" customHeight="false" outlineLevel="0" collapsed="false">
      <c r="B551" s="2"/>
    </row>
    <row r="552" customFormat="false" ht="14.25" hidden="false" customHeight="false" outlineLevel="0" collapsed="false">
      <c r="B552" s="2"/>
    </row>
    <row r="553" customFormat="false" ht="14.25" hidden="false" customHeight="false" outlineLevel="0" collapsed="false">
      <c r="B553" s="2"/>
    </row>
    <row r="554" customFormat="false" ht="14.25" hidden="false" customHeight="false" outlineLevel="0" collapsed="false">
      <c r="B554" s="2"/>
    </row>
    <row r="555" customFormat="false" ht="14.25" hidden="false" customHeight="false" outlineLevel="0" collapsed="false">
      <c r="B555" s="2"/>
    </row>
    <row r="556" customFormat="false" ht="14.25" hidden="false" customHeight="false" outlineLevel="0" collapsed="false">
      <c r="B556" s="2"/>
    </row>
    <row r="557" customFormat="false" ht="14.25" hidden="false" customHeight="false" outlineLevel="0" collapsed="false">
      <c r="B557" s="2"/>
    </row>
    <row r="558" customFormat="false" ht="14.25" hidden="false" customHeight="false" outlineLevel="0" collapsed="false">
      <c r="B558" s="2"/>
    </row>
    <row r="559" customFormat="false" ht="14.25" hidden="false" customHeight="false" outlineLevel="0" collapsed="false">
      <c r="B559" s="2"/>
    </row>
    <row r="560" customFormat="false" ht="14.25" hidden="false" customHeight="false" outlineLevel="0" collapsed="false">
      <c r="B560" s="2"/>
    </row>
    <row r="561" customFormat="false" ht="14.25" hidden="false" customHeight="false" outlineLevel="0" collapsed="false">
      <c r="B561" s="2"/>
    </row>
    <row r="562" customFormat="false" ht="14.25" hidden="false" customHeight="false" outlineLevel="0" collapsed="false">
      <c r="B562" s="2"/>
    </row>
    <row r="563" customFormat="false" ht="14.25" hidden="false" customHeight="false" outlineLevel="0" collapsed="false">
      <c r="B563" s="2"/>
    </row>
    <row r="564" customFormat="false" ht="14.25" hidden="false" customHeight="false" outlineLevel="0" collapsed="false">
      <c r="B564" s="2"/>
    </row>
    <row r="565" customFormat="false" ht="14.25" hidden="false" customHeight="false" outlineLevel="0" collapsed="false">
      <c r="B565" s="2"/>
    </row>
    <row r="566" customFormat="false" ht="14.25" hidden="false" customHeight="false" outlineLevel="0" collapsed="false">
      <c r="B566" s="2"/>
    </row>
    <row r="567" customFormat="false" ht="14.25" hidden="false" customHeight="false" outlineLevel="0" collapsed="false">
      <c r="B567" s="2"/>
    </row>
    <row r="568" customFormat="false" ht="14.25" hidden="false" customHeight="false" outlineLevel="0" collapsed="false">
      <c r="B568" s="2"/>
    </row>
    <row r="569" customFormat="false" ht="14.25" hidden="false" customHeight="false" outlineLevel="0" collapsed="false">
      <c r="B569" s="2"/>
    </row>
    <row r="570" customFormat="false" ht="14.25" hidden="false" customHeight="false" outlineLevel="0" collapsed="false">
      <c r="B570" s="2"/>
    </row>
    <row r="571" customFormat="false" ht="14.25" hidden="false" customHeight="false" outlineLevel="0" collapsed="false">
      <c r="B571" s="2"/>
    </row>
    <row r="572" customFormat="false" ht="14.25" hidden="false" customHeight="false" outlineLevel="0" collapsed="false">
      <c r="B572" s="2"/>
    </row>
    <row r="573" customFormat="false" ht="14.25" hidden="false" customHeight="false" outlineLevel="0" collapsed="false">
      <c r="B573" s="2"/>
    </row>
    <row r="574" customFormat="false" ht="14.25" hidden="false" customHeight="false" outlineLevel="0" collapsed="false">
      <c r="B574" s="2"/>
    </row>
    <row r="575" customFormat="false" ht="14.25" hidden="false" customHeight="false" outlineLevel="0" collapsed="false">
      <c r="B575" s="2"/>
    </row>
    <row r="576" customFormat="false" ht="14.25" hidden="false" customHeight="false" outlineLevel="0" collapsed="false">
      <c r="B576" s="2"/>
    </row>
    <row r="577" customFormat="false" ht="14.25" hidden="false" customHeight="false" outlineLevel="0" collapsed="false">
      <c r="B577" s="2"/>
    </row>
    <row r="578" customFormat="false" ht="14.25" hidden="false" customHeight="false" outlineLevel="0" collapsed="false">
      <c r="B578" s="2"/>
    </row>
    <row r="579" customFormat="false" ht="14.25" hidden="false" customHeight="false" outlineLevel="0" collapsed="false">
      <c r="B579" s="2"/>
    </row>
    <row r="580" customFormat="false" ht="14.25" hidden="false" customHeight="false" outlineLevel="0" collapsed="false">
      <c r="B580" s="2"/>
    </row>
    <row r="581" customFormat="false" ht="14.25" hidden="false" customHeight="false" outlineLevel="0" collapsed="false">
      <c r="B581" s="2"/>
    </row>
    <row r="582" customFormat="false" ht="14.25" hidden="false" customHeight="false" outlineLevel="0" collapsed="false">
      <c r="B582" s="2"/>
    </row>
    <row r="583" customFormat="false" ht="14.25" hidden="false" customHeight="false" outlineLevel="0" collapsed="false">
      <c r="B583" s="2"/>
    </row>
    <row r="584" customFormat="false" ht="14.25" hidden="false" customHeight="false" outlineLevel="0" collapsed="false">
      <c r="B584" s="2"/>
    </row>
    <row r="585" customFormat="false" ht="14.25" hidden="false" customHeight="false" outlineLevel="0" collapsed="false">
      <c r="B585" s="2"/>
    </row>
    <row r="586" customFormat="false" ht="14.25" hidden="false" customHeight="false" outlineLevel="0" collapsed="false">
      <c r="B586" s="2"/>
    </row>
    <row r="587" customFormat="false" ht="14.25" hidden="false" customHeight="false" outlineLevel="0" collapsed="false">
      <c r="B587" s="2"/>
    </row>
    <row r="588" customFormat="false" ht="14.25" hidden="false" customHeight="false" outlineLevel="0" collapsed="false">
      <c r="B588" s="2"/>
    </row>
    <row r="589" customFormat="false" ht="14.25" hidden="false" customHeight="false" outlineLevel="0" collapsed="false">
      <c r="B589" s="2"/>
    </row>
    <row r="590" customFormat="false" ht="14.25" hidden="false" customHeight="false" outlineLevel="0" collapsed="false">
      <c r="B590" s="2"/>
    </row>
    <row r="591" customFormat="false" ht="14.25" hidden="false" customHeight="false" outlineLevel="0" collapsed="false">
      <c r="B591" s="2"/>
    </row>
    <row r="592" customFormat="false" ht="14.25" hidden="false" customHeight="false" outlineLevel="0" collapsed="false">
      <c r="B592" s="2"/>
    </row>
    <row r="593" customFormat="false" ht="14.25" hidden="false" customHeight="false" outlineLevel="0" collapsed="false">
      <c r="B593" s="2"/>
    </row>
    <row r="594" customFormat="false" ht="14.25" hidden="false" customHeight="false" outlineLevel="0" collapsed="false">
      <c r="B594" s="2"/>
    </row>
    <row r="595" customFormat="false" ht="14.25" hidden="false" customHeight="false" outlineLevel="0" collapsed="false">
      <c r="B595" s="2"/>
    </row>
    <row r="596" customFormat="false" ht="14.25" hidden="false" customHeight="false" outlineLevel="0" collapsed="false">
      <c r="B596" s="2"/>
    </row>
    <row r="597" customFormat="false" ht="14.25" hidden="false" customHeight="false" outlineLevel="0" collapsed="false">
      <c r="B597" s="2"/>
    </row>
    <row r="598" customFormat="false" ht="14.25" hidden="false" customHeight="false" outlineLevel="0" collapsed="false">
      <c r="B598" s="2"/>
    </row>
    <row r="599" customFormat="false" ht="14.25" hidden="false" customHeight="false" outlineLevel="0" collapsed="false">
      <c r="B599" s="2"/>
    </row>
    <row r="600" customFormat="false" ht="14.25" hidden="false" customHeight="false" outlineLevel="0" collapsed="false">
      <c r="B600" s="2"/>
    </row>
    <row r="601" customFormat="false" ht="14.25" hidden="false" customHeight="false" outlineLevel="0" collapsed="false">
      <c r="B601" s="2"/>
    </row>
    <row r="602" customFormat="false" ht="14.25" hidden="false" customHeight="false" outlineLevel="0" collapsed="false">
      <c r="B602" s="2"/>
    </row>
    <row r="603" customFormat="false" ht="14.25" hidden="false" customHeight="false" outlineLevel="0" collapsed="false">
      <c r="B603" s="2"/>
    </row>
    <row r="604" customFormat="false" ht="14.25" hidden="false" customHeight="false" outlineLevel="0" collapsed="false">
      <c r="B604" s="2"/>
    </row>
    <row r="605" customFormat="false" ht="14.25" hidden="false" customHeight="false" outlineLevel="0" collapsed="false">
      <c r="B605" s="2"/>
    </row>
    <row r="606" customFormat="false" ht="14.25" hidden="false" customHeight="false" outlineLevel="0" collapsed="false">
      <c r="B606" s="2"/>
    </row>
    <row r="607" customFormat="false" ht="14.25" hidden="false" customHeight="false" outlineLevel="0" collapsed="false">
      <c r="B607" s="2"/>
    </row>
    <row r="608" customFormat="false" ht="14.25" hidden="false" customHeight="false" outlineLevel="0" collapsed="false">
      <c r="B608" s="2"/>
    </row>
    <row r="609" customFormat="false" ht="14.25" hidden="false" customHeight="false" outlineLevel="0" collapsed="false">
      <c r="B609" s="2"/>
    </row>
    <row r="610" customFormat="false" ht="14.25" hidden="false" customHeight="false" outlineLevel="0" collapsed="false">
      <c r="B610" s="2"/>
    </row>
    <row r="611" customFormat="false" ht="14.25" hidden="false" customHeight="false" outlineLevel="0" collapsed="false">
      <c r="B611" s="2"/>
    </row>
    <row r="612" customFormat="false" ht="14.25" hidden="false" customHeight="false" outlineLevel="0" collapsed="false">
      <c r="B612" s="2"/>
    </row>
    <row r="613" customFormat="false" ht="14.25" hidden="false" customHeight="false" outlineLevel="0" collapsed="false">
      <c r="B613" s="2"/>
    </row>
    <row r="614" customFormat="false" ht="14.25" hidden="false" customHeight="false" outlineLevel="0" collapsed="false">
      <c r="B614" s="2"/>
    </row>
    <row r="615" customFormat="false" ht="14.25" hidden="false" customHeight="false" outlineLevel="0" collapsed="false">
      <c r="B615" s="2"/>
    </row>
    <row r="616" customFormat="false" ht="14.25" hidden="false" customHeight="false" outlineLevel="0" collapsed="false">
      <c r="B616" s="2"/>
    </row>
    <row r="617" customFormat="false" ht="14.25" hidden="false" customHeight="false" outlineLevel="0" collapsed="false">
      <c r="B617" s="2"/>
    </row>
    <row r="618" customFormat="false" ht="14.25" hidden="false" customHeight="false" outlineLevel="0" collapsed="false">
      <c r="B618" s="2"/>
    </row>
    <row r="619" customFormat="false" ht="14.25" hidden="false" customHeight="false" outlineLevel="0" collapsed="false">
      <c r="B619" s="2"/>
    </row>
    <row r="620" customFormat="false" ht="14.25" hidden="false" customHeight="false" outlineLevel="0" collapsed="false">
      <c r="B620" s="2"/>
    </row>
    <row r="621" customFormat="false" ht="14.25" hidden="false" customHeight="false" outlineLevel="0" collapsed="false">
      <c r="B621" s="2"/>
    </row>
    <row r="622" customFormat="false" ht="14.25" hidden="false" customHeight="false" outlineLevel="0" collapsed="false">
      <c r="B622" s="2"/>
    </row>
    <row r="623" customFormat="false" ht="14.25" hidden="false" customHeight="false" outlineLevel="0" collapsed="false">
      <c r="B623" s="2"/>
    </row>
    <row r="624" customFormat="false" ht="14.25" hidden="false" customHeight="false" outlineLevel="0" collapsed="false">
      <c r="B624" s="2"/>
    </row>
    <row r="625" customFormat="false" ht="14.25" hidden="false" customHeight="false" outlineLevel="0" collapsed="false">
      <c r="B625" s="2"/>
    </row>
    <row r="626" customFormat="false" ht="14.25" hidden="false" customHeight="false" outlineLevel="0" collapsed="false">
      <c r="B626" s="2"/>
    </row>
    <row r="627" customFormat="false" ht="14.25" hidden="false" customHeight="false" outlineLevel="0" collapsed="false">
      <c r="B627" s="2"/>
    </row>
    <row r="628" customFormat="false" ht="14.25" hidden="false" customHeight="false" outlineLevel="0" collapsed="false">
      <c r="B628" s="2"/>
    </row>
    <row r="629" customFormat="false" ht="14.25" hidden="false" customHeight="false" outlineLevel="0" collapsed="false">
      <c r="B629" s="2"/>
    </row>
    <row r="630" customFormat="false" ht="14.25" hidden="false" customHeight="false" outlineLevel="0" collapsed="false">
      <c r="B630" s="2"/>
    </row>
    <row r="631" customFormat="false" ht="14.25" hidden="false" customHeight="false" outlineLevel="0" collapsed="false">
      <c r="B631" s="2"/>
    </row>
    <row r="632" customFormat="false" ht="14.25" hidden="false" customHeight="false" outlineLevel="0" collapsed="false">
      <c r="B632" s="2"/>
    </row>
    <row r="633" customFormat="false" ht="14.25" hidden="false" customHeight="false" outlineLevel="0" collapsed="false">
      <c r="B633" s="2"/>
    </row>
    <row r="634" customFormat="false" ht="14.25" hidden="false" customHeight="false" outlineLevel="0" collapsed="false">
      <c r="B634" s="2"/>
    </row>
    <row r="635" customFormat="false" ht="14.25" hidden="false" customHeight="false" outlineLevel="0" collapsed="false">
      <c r="B635" s="2"/>
    </row>
    <row r="636" customFormat="false" ht="14.25" hidden="false" customHeight="false" outlineLevel="0" collapsed="false">
      <c r="B636" s="2"/>
    </row>
    <row r="637" customFormat="false" ht="14.25" hidden="false" customHeight="false" outlineLevel="0" collapsed="false">
      <c r="B637" s="2"/>
    </row>
    <row r="638" customFormat="false" ht="14.25" hidden="false" customHeight="false" outlineLevel="0" collapsed="false">
      <c r="B638" s="2"/>
    </row>
    <row r="639" customFormat="false" ht="14.25" hidden="false" customHeight="false" outlineLevel="0" collapsed="false">
      <c r="B639" s="2"/>
    </row>
    <row r="640" customFormat="false" ht="14.25" hidden="false" customHeight="false" outlineLevel="0" collapsed="false">
      <c r="B640" s="2"/>
    </row>
    <row r="641" customFormat="false" ht="14.25" hidden="false" customHeight="false" outlineLevel="0" collapsed="false">
      <c r="B641" s="2"/>
    </row>
    <row r="642" customFormat="false" ht="14.25" hidden="false" customHeight="false" outlineLevel="0" collapsed="false">
      <c r="B642" s="2"/>
    </row>
    <row r="643" customFormat="false" ht="14.25" hidden="false" customHeight="false" outlineLevel="0" collapsed="false">
      <c r="B643" s="2"/>
    </row>
    <row r="644" customFormat="false" ht="14.25" hidden="false" customHeight="false" outlineLevel="0" collapsed="false">
      <c r="B644" s="2"/>
    </row>
    <row r="645" customFormat="false" ht="14.25" hidden="false" customHeight="false" outlineLevel="0" collapsed="false">
      <c r="B645" s="2"/>
    </row>
    <row r="646" customFormat="false" ht="14.25" hidden="false" customHeight="false" outlineLevel="0" collapsed="false">
      <c r="B646" s="2"/>
    </row>
    <row r="647" customFormat="false" ht="14.25" hidden="false" customHeight="false" outlineLevel="0" collapsed="false">
      <c r="B647" s="2"/>
    </row>
    <row r="648" customFormat="false" ht="14.25" hidden="false" customHeight="false" outlineLevel="0" collapsed="false">
      <c r="B648" s="2"/>
    </row>
    <row r="649" customFormat="false" ht="14.25" hidden="false" customHeight="false" outlineLevel="0" collapsed="false">
      <c r="B649" s="2"/>
    </row>
    <row r="650" customFormat="false" ht="14.25" hidden="false" customHeight="false" outlineLevel="0" collapsed="false">
      <c r="B650" s="2"/>
    </row>
    <row r="651" customFormat="false" ht="14.25" hidden="false" customHeight="false" outlineLevel="0" collapsed="false">
      <c r="B651" s="2"/>
    </row>
    <row r="652" customFormat="false" ht="14.25" hidden="false" customHeight="false" outlineLevel="0" collapsed="false">
      <c r="B652" s="2"/>
    </row>
    <row r="653" customFormat="false" ht="14.25" hidden="false" customHeight="false" outlineLevel="0" collapsed="false">
      <c r="B653" s="2"/>
    </row>
    <row r="654" customFormat="false" ht="14.25" hidden="false" customHeight="false" outlineLevel="0" collapsed="false">
      <c r="B654" s="2"/>
    </row>
    <row r="655" customFormat="false" ht="14.25" hidden="false" customHeight="false" outlineLevel="0" collapsed="false">
      <c r="B655" s="2"/>
    </row>
    <row r="656" customFormat="false" ht="14.25" hidden="false" customHeight="false" outlineLevel="0" collapsed="false">
      <c r="B656" s="2"/>
    </row>
    <row r="657" customFormat="false" ht="14.25" hidden="false" customHeight="false" outlineLevel="0" collapsed="false">
      <c r="B657" s="2"/>
    </row>
    <row r="658" customFormat="false" ht="14.25" hidden="false" customHeight="false" outlineLevel="0" collapsed="false">
      <c r="B658" s="2"/>
    </row>
    <row r="659" customFormat="false" ht="14.25" hidden="false" customHeight="false" outlineLevel="0" collapsed="false">
      <c r="B659" s="2"/>
    </row>
    <row r="660" customFormat="false" ht="14.25" hidden="false" customHeight="false" outlineLevel="0" collapsed="false">
      <c r="B660" s="2"/>
    </row>
    <row r="661" customFormat="false" ht="14.25" hidden="false" customHeight="false" outlineLevel="0" collapsed="false">
      <c r="B661" s="2"/>
    </row>
    <row r="662" customFormat="false" ht="14.25" hidden="false" customHeight="false" outlineLevel="0" collapsed="false">
      <c r="B662" s="2"/>
    </row>
    <row r="663" customFormat="false" ht="14.25" hidden="false" customHeight="false" outlineLevel="0" collapsed="false">
      <c r="B663" s="2"/>
    </row>
    <row r="664" customFormat="false" ht="14.25" hidden="false" customHeight="false" outlineLevel="0" collapsed="false">
      <c r="B664" s="2"/>
    </row>
    <row r="665" customFormat="false" ht="14.25" hidden="false" customHeight="false" outlineLevel="0" collapsed="false">
      <c r="B665" s="2"/>
    </row>
    <row r="666" customFormat="false" ht="14.25" hidden="false" customHeight="false" outlineLevel="0" collapsed="false">
      <c r="B666" s="2"/>
    </row>
    <row r="667" customFormat="false" ht="14.25" hidden="false" customHeight="false" outlineLevel="0" collapsed="false">
      <c r="B667" s="2"/>
    </row>
    <row r="668" customFormat="false" ht="14.25" hidden="false" customHeight="false" outlineLevel="0" collapsed="false">
      <c r="B668" s="2"/>
    </row>
    <row r="669" customFormat="false" ht="14.25" hidden="false" customHeight="false" outlineLevel="0" collapsed="false">
      <c r="B669" s="2"/>
    </row>
    <row r="670" customFormat="false" ht="14.25" hidden="false" customHeight="false" outlineLevel="0" collapsed="false">
      <c r="B670" s="2"/>
    </row>
    <row r="671" customFormat="false" ht="14.25" hidden="false" customHeight="false" outlineLevel="0" collapsed="false">
      <c r="B671" s="2"/>
    </row>
    <row r="672" customFormat="false" ht="14.25" hidden="false" customHeight="false" outlineLevel="0" collapsed="false">
      <c r="B672" s="2"/>
    </row>
    <row r="673" customFormat="false" ht="14.25" hidden="false" customHeight="false" outlineLevel="0" collapsed="false">
      <c r="B673" s="2"/>
    </row>
    <row r="674" customFormat="false" ht="14.25" hidden="false" customHeight="false" outlineLevel="0" collapsed="false">
      <c r="B674" s="2"/>
    </row>
    <row r="675" customFormat="false" ht="14.25" hidden="false" customHeight="false" outlineLevel="0" collapsed="false">
      <c r="B675" s="2"/>
    </row>
    <row r="676" customFormat="false" ht="14.25" hidden="false" customHeight="false" outlineLevel="0" collapsed="false">
      <c r="B676" s="2"/>
    </row>
    <row r="677" customFormat="false" ht="14.25" hidden="false" customHeight="false" outlineLevel="0" collapsed="false">
      <c r="B677" s="2"/>
    </row>
    <row r="678" customFormat="false" ht="14.25" hidden="false" customHeight="false" outlineLevel="0" collapsed="false">
      <c r="B678" s="2"/>
    </row>
    <row r="679" customFormat="false" ht="14.25" hidden="false" customHeight="false" outlineLevel="0" collapsed="false">
      <c r="B679" s="2"/>
    </row>
    <row r="680" customFormat="false" ht="14.25" hidden="false" customHeight="false" outlineLevel="0" collapsed="false">
      <c r="B680" s="2"/>
    </row>
    <row r="681" customFormat="false" ht="14.25" hidden="false" customHeight="false" outlineLevel="0" collapsed="false">
      <c r="B681" s="2"/>
    </row>
    <row r="682" customFormat="false" ht="14.25" hidden="false" customHeight="false" outlineLevel="0" collapsed="false">
      <c r="B682" s="2"/>
    </row>
    <row r="683" customFormat="false" ht="14.25" hidden="false" customHeight="false" outlineLevel="0" collapsed="false">
      <c r="B683" s="2"/>
    </row>
    <row r="684" customFormat="false" ht="14.25" hidden="false" customHeight="false" outlineLevel="0" collapsed="false">
      <c r="B684" s="2"/>
    </row>
    <row r="685" customFormat="false" ht="14.25" hidden="false" customHeight="false" outlineLevel="0" collapsed="false">
      <c r="B685" s="2"/>
    </row>
    <row r="686" customFormat="false" ht="14.25" hidden="false" customHeight="false" outlineLevel="0" collapsed="false">
      <c r="B686" s="2"/>
    </row>
    <row r="687" customFormat="false" ht="14.25" hidden="false" customHeight="false" outlineLevel="0" collapsed="false">
      <c r="B687" s="2"/>
    </row>
    <row r="688" customFormat="false" ht="14.25" hidden="false" customHeight="false" outlineLevel="0" collapsed="false">
      <c r="B688" s="2"/>
    </row>
    <row r="689" customFormat="false" ht="14.25" hidden="false" customHeight="false" outlineLevel="0" collapsed="false">
      <c r="B689" s="2"/>
    </row>
    <row r="690" customFormat="false" ht="14.25" hidden="false" customHeight="false" outlineLevel="0" collapsed="false">
      <c r="B690" s="2"/>
    </row>
    <row r="691" customFormat="false" ht="14.25" hidden="false" customHeight="false" outlineLevel="0" collapsed="false">
      <c r="B691" s="2"/>
    </row>
    <row r="692" customFormat="false" ht="14.25" hidden="false" customHeight="false" outlineLevel="0" collapsed="false">
      <c r="B692" s="2"/>
    </row>
    <row r="693" customFormat="false" ht="14.25" hidden="false" customHeight="false" outlineLevel="0" collapsed="false">
      <c r="B693" s="2"/>
    </row>
    <row r="694" customFormat="false" ht="14.25" hidden="false" customHeight="false" outlineLevel="0" collapsed="false">
      <c r="B694" s="2"/>
    </row>
    <row r="695" customFormat="false" ht="14.25" hidden="false" customHeight="false" outlineLevel="0" collapsed="false">
      <c r="B695" s="2"/>
    </row>
    <row r="696" customFormat="false" ht="14.25" hidden="false" customHeight="false" outlineLevel="0" collapsed="false">
      <c r="B696" s="2"/>
    </row>
    <row r="697" customFormat="false" ht="14.25" hidden="false" customHeight="false" outlineLevel="0" collapsed="false">
      <c r="B697" s="2"/>
    </row>
    <row r="698" customFormat="false" ht="14.25" hidden="false" customHeight="false" outlineLevel="0" collapsed="false">
      <c r="B698" s="2"/>
    </row>
    <row r="699" customFormat="false" ht="14.25" hidden="false" customHeight="false" outlineLevel="0" collapsed="false">
      <c r="B699" s="2"/>
    </row>
    <row r="700" customFormat="false" ht="14.25" hidden="false" customHeight="false" outlineLevel="0" collapsed="false">
      <c r="B700" s="2"/>
    </row>
    <row r="701" customFormat="false" ht="14.25" hidden="false" customHeight="false" outlineLevel="0" collapsed="false">
      <c r="B701" s="2"/>
    </row>
    <row r="702" customFormat="false" ht="14.25" hidden="false" customHeight="false" outlineLevel="0" collapsed="false">
      <c r="B702" s="2"/>
    </row>
    <row r="703" customFormat="false" ht="14.25" hidden="false" customHeight="false" outlineLevel="0" collapsed="false">
      <c r="B703" s="2"/>
    </row>
    <row r="704" customFormat="false" ht="14.25" hidden="false" customHeight="false" outlineLevel="0" collapsed="false">
      <c r="B704" s="2"/>
    </row>
    <row r="705" customFormat="false" ht="14.25" hidden="false" customHeight="false" outlineLevel="0" collapsed="false">
      <c r="B705" s="2"/>
    </row>
    <row r="706" customFormat="false" ht="14.25" hidden="false" customHeight="false" outlineLevel="0" collapsed="false">
      <c r="B706" s="2"/>
    </row>
    <row r="707" customFormat="false" ht="14.25" hidden="false" customHeight="false" outlineLevel="0" collapsed="false">
      <c r="B707" s="2"/>
    </row>
    <row r="708" customFormat="false" ht="14.25" hidden="false" customHeight="false" outlineLevel="0" collapsed="false">
      <c r="B708" s="2"/>
    </row>
    <row r="709" customFormat="false" ht="14.25" hidden="false" customHeight="false" outlineLevel="0" collapsed="false">
      <c r="B709" s="2"/>
    </row>
    <row r="710" customFormat="false" ht="14.25" hidden="false" customHeight="false" outlineLevel="0" collapsed="false">
      <c r="B710" s="2"/>
    </row>
    <row r="711" customFormat="false" ht="14.25" hidden="false" customHeight="false" outlineLevel="0" collapsed="false">
      <c r="B711" s="2"/>
    </row>
    <row r="712" customFormat="false" ht="14.25" hidden="false" customHeight="false" outlineLevel="0" collapsed="false">
      <c r="B712" s="2"/>
    </row>
    <row r="713" customFormat="false" ht="14.25" hidden="false" customHeight="false" outlineLevel="0" collapsed="false">
      <c r="B713" s="2"/>
    </row>
    <row r="714" customFormat="false" ht="14.25" hidden="false" customHeight="false" outlineLevel="0" collapsed="false">
      <c r="B714" s="2"/>
    </row>
    <row r="715" customFormat="false" ht="14.25" hidden="false" customHeight="false" outlineLevel="0" collapsed="false">
      <c r="B715" s="2"/>
    </row>
    <row r="716" customFormat="false" ht="14.25" hidden="false" customHeight="false" outlineLevel="0" collapsed="false">
      <c r="B716" s="2"/>
    </row>
    <row r="717" customFormat="false" ht="14.25" hidden="false" customHeight="false" outlineLevel="0" collapsed="false">
      <c r="B717" s="2"/>
    </row>
    <row r="718" customFormat="false" ht="14.25" hidden="false" customHeight="false" outlineLevel="0" collapsed="false">
      <c r="B718" s="2"/>
    </row>
    <row r="719" customFormat="false" ht="14.25" hidden="false" customHeight="false" outlineLevel="0" collapsed="false">
      <c r="B719" s="2"/>
    </row>
    <row r="720" customFormat="false" ht="14.25" hidden="false" customHeight="false" outlineLevel="0" collapsed="false">
      <c r="B720" s="2"/>
    </row>
    <row r="721" customFormat="false" ht="14.25" hidden="false" customHeight="false" outlineLevel="0" collapsed="false">
      <c r="B721" s="2"/>
    </row>
    <row r="722" customFormat="false" ht="14.25" hidden="false" customHeight="false" outlineLevel="0" collapsed="false">
      <c r="B722" s="2"/>
    </row>
    <row r="723" customFormat="false" ht="14.25" hidden="false" customHeight="false" outlineLevel="0" collapsed="false">
      <c r="B723" s="2"/>
    </row>
    <row r="724" customFormat="false" ht="14.25" hidden="false" customHeight="false" outlineLevel="0" collapsed="false">
      <c r="B724" s="2"/>
    </row>
    <row r="725" customFormat="false" ht="14.25" hidden="false" customHeight="false" outlineLevel="0" collapsed="false">
      <c r="B725" s="2"/>
    </row>
    <row r="726" customFormat="false" ht="14.25" hidden="false" customHeight="false" outlineLevel="0" collapsed="false">
      <c r="B726" s="2"/>
    </row>
    <row r="727" customFormat="false" ht="14.25" hidden="false" customHeight="false" outlineLevel="0" collapsed="false">
      <c r="B727" s="2"/>
    </row>
    <row r="728" customFormat="false" ht="14.25" hidden="false" customHeight="false" outlineLevel="0" collapsed="false">
      <c r="B728" s="2"/>
    </row>
    <row r="729" customFormat="false" ht="14.25" hidden="false" customHeight="false" outlineLevel="0" collapsed="false">
      <c r="B729" s="2"/>
    </row>
    <row r="730" customFormat="false" ht="14.25" hidden="false" customHeight="false" outlineLevel="0" collapsed="false">
      <c r="B730" s="2"/>
    </row>
    <row r="731" customFormat="false" ht="14.25" hidden="false" customHeight="false" outlineLevel="0" collapsed="false">
      <c r="B731" s="2"/>
    </row>
    <row r="732" customFormat="false" ht="14.25" hidden="false" customHeight="false" outlineLevel="0" collapsed="false">
      <c r="B732" s="2"/>
    </row>
    <row r="733" customFormat="false" ht="14.25" hidden="false" customHeight="false" outlineLevel="0" collapsed="false">
      <c r="B733" s="2"/>
    </row>
    <row r="734" customFormat="false" ht="14.25" hidden="false" customHeight="false" outlineLevel="0" collapsed="false">
      <c r="B734" s="2"/>
    </row>
    <row r="735" customFormat="false" ht="14.25" hidden="false" customHeight="false" outlineLevel="0" collapsed="false">
      <c r="B735" s="2"/>
    </row>
    <row r="736" customFormat="false" ht="14.25" hidden="false" customHeight="false" outlineLevel="0" collapsed="false">
      <c r="B736" s="2"/>
    </row>
    <row r="737" customFormat="false" ht="14.25" hidden="false" customHeight="false" outlineLevel="0" collapsed="false">
      <c r="B737" s="2"/>
    </row>
    <row r="738" customFormat="false" ht="14.25" hidden="false" customHeight="false" outlineLevel="0" collapsed="false">
      <c r="B738" s="2"/>
    </row>
    <row r="739" customFormat="false" ht="14.25" hidden="false" customHeight="false" outlineLevel="0" collapsed="false">
      <c r="B739" s="2"/>
    </row>
    <row r="740" customFormat="false" ht="14.25" hidden="false" customHeight="false" outlineLevel="0" collapsed="false">
      <c r="B740" s="2"/>
    </row>
    <row r="741" customFormat="false" ht="14.25" hidden="false" customHeight="false" outlineLevel="0" collapsed="false">
      <c r="B741" s="2"/>
    </row>
    <row r="742" customFormat="false" ht="14.25" hidden="false" customHeight="false" outlineLevel="0" collapsed="false">
      <c r="B742" s="2"/>
    </row>
    <row r="743" customFormat="false" ht="14.25" hidden="false" customHeight="false" outlineLevel="0" collapsed="false">
      <c r="B743" s="2"/>
    </row>
    <row r="744" customFormat="false" ht="14.25" hidden="false" customHeight="false" outlineLevel="0" collapsed="false">
      <c r="B744" s="2"/>
    </row>
    <row r="745" customFormat="false" ht="14.25" hidden="false" customHeight="false" outlineLevel="0" collapsed="false">
      <c r="B745" s="2"/>
    </row>
    <row r="746" customFormat="false" ht="14.25" hidden="false" customHeight="false" outlineLevel="0" collapsed="false">
      <c r="B746" s="2"/>
    </row>
    <row r="747" customFormat="false" ht="14.25" hidden="false" customHeight="false" outlineLevel="0" collapsed="false">
      <c r="B747" s="2"/>
    </row>
    <row r="748" customFormat="false" ht="14.25" hidden="false" customHeight="false" outlineLevel="0" collapsed="false">
      <c r="B748" s="2"/>
    </row>
    <row r="749" customFormat="false" ht="14.25" hidden="false" customHeight="false" outlineLevel="0" collapsed="false">
      <c r="B749" s="2"/>
    </row>
    <row r="750" customFormat="false" ht="14.25" hidden="false" customHeight="false" outlineLevel="0" collapsed="false">
      <c r="B750" s="2"/>
    </row>
    <row r="751" customFormat="false" ht="14.25" hidden="false" customHeight="false" outlineLevel="0" collapsed="false">
      <c r="B751" s="2"/>
    </row>
    <row r="752" customFormat="false" ht="14.25" hidden="false" customHeight="false" outlineLevel="0" collapsed="false">
      <c r="B752" s="2"/>
    </row>
    <row r="753" customFormat="false" ht="14.25" hidden="false" customHeight="false" outlineLevel="0" collapsed="false">
      <c r="B753" s="2"/>
    </row>
    <row r="754" customFormat="false" ht="14.25" hidden="false" customHeight="false" outlineLevel="0" collapsed="false">
      <c r="B754" s="2"/>
    </row>
    <row r="755" customFormat="false" ht="14.25" hidden="false" customHeight="false" outlineLevel="0" collapsed="false">
      <c r="B755" s="2"/>
    </row>
    <row r="756" customFormat="false" ht="14.25" hidden="false" customHeight="false" outlineLevel="0" collapsed="false">
      <c r="B756" s="2"/>
    </row>
    <row r="757" customFormat="false" ht="14.25" hidden="false" customHeight="false" outlineLevel="0" collapsed="false">
      <c r="B757" s="2"/>
    </row>
    <row r="758" customFormat="false" ht="14.25" hidden="false" customHeight="false" outlineLevel="0" collapsed="false">
      <c r="B758" s="2"/>
    </row>
    <row r="759" customFormat="false" ht="14.25" hidden="false" customHeight="false" outlineLevel="0" collapsed="false">
      <c r="B759" s="2"/>
    </row>
    <row r="760" customFormat="false" ht="14.25" hidden="false" customHeight="false" outlineLevel="0" collapsed="false">
      <c r="B760" s="2"/>
    </row>
    <row r="761" customFormat="false" ht="14.25" hidden="false" customHeight="false" outlineLevel="0" collapsed="false">
      <c r="B761" s="2"/>
    </row>
    <row r="762" customFormat="false" ht="14.25" hidden="false" customHeight="false" outlineLevel="0" collapsed="false">
      <c r="B762" s="2"/>
    </row>
    <row r="763" customFormat="false" ht="14.25" hidden="false" customHeight="false" outlineLevel="0" collapsed="false">
      <c r="B763" s="2"/>
    </row>
    <row r="764" customFormat="false" ht="14.25" hidden="false" customHeight="false" outlineLevel="0" collapsed="false">
      <c r="B764" s="2"/>
    </row>
    <row r="765" customFormat="false" ht="14.25" hidden="false" customHeight="false" outlineLevel="0" collapsed="false">
      <c r="B765" s="2"/>
    </row>
    <row r="766" customFormat="false" ht="14.25" hidden="false" customHeight="false" outlineLevel="0" collapsed="false">
      <c r="B766" s="2"/>
    </row>
    <row r="767" customFormat="false" ht="14.25" hidden="false" customHeight="false" outlineLevel="0" collapsed="false">
      <c r="B767" s="2"/>
    </row>
    <row r="768" customFormat="false" ht="14.25" hidden="false" customHeight="false" outlineLevel="0" collapsed="false">
      <c r="B768" s="2"/>
    </row>
    <row r="769" customFormat="false" ht="14.25" hidden="false" customHeight="false" outlineLevel="0" collapsed="false">
      <c r="B769" s="2"/>
    </row>
    <row r="770" customFormat="false" ht="14.25" hidden="false" customHeight="false" outlineLevel="0" collapsed="false">
      <c r="B770" s="2"/>
    </row>
    <row r="771" customFormat="false" ht="14.25" hidden="false" customHeight="false" outlineLevel="0" collapsed="false">
      <c r="B771" s="2"/>
    </row>
    <row r="772" customFormat="false" ht="14.25" hidden="false" customHeight="false" outlineLevel="0" collapsed="false">
      <c r="B772" s="2"/>
    </row>
    <row r="773" customFormat="false" ht="14.25" hidden="false" customHeight="false" outlineLevel="0" collapsed="false">
      <c r="B773" s="2"/>
    </row>
    <row r="774" customFormat="false" ht="14.25" hidden="false" customHeight="false" outlineLevel="0" collapsed="false">
      <c r="B774" s="2"/>
    </row>
    <row r="775" customFormat="false" ht="14.25" hidden="false" customHeight="false" outlineLevel="0" collapsed="false">
      <c r="B775" s="2"/>
    </row>
    <row r="776" customFormat="false" ht="14.25" hidden="false" customHeight="false" outlineLevel="0" collapsed="false">
      <c r="B776" s="2"/>
    </row>
    <row r="777" customFormat="false" ht="14.25" hidden="false" customHeight="false" outlineLevel="0" collapsed="false">
      <c r="B777" s="2"/>
    </row>
    <row r="778" customFormat="false" ht="14.25" hidden="false" customHeight="false" outlineLevel="0" collapsed="false">
      <c r="B778" s="2"/>
    </row>
    <row r="779" customFormat="false" ht="14.25" hidden="false" customHeight="false" outlineLevel="0" collapsed="false">
      <c r="B779" s="2"/>
    </row>
    <row r="780" customFormat="false" ht="14.25" hidden="false" customHeight="false" outlineLevel="0" collapsed="false">
      <c r="B780" s="2"/>
    </row>
    <row r="781" customFormat="false" ht="14.25" hidden="false" customHeight="false" outlineLevel="0" collapsed="false">
      <c r="B781" s="2"/>
    </row>
    <row r="782" customFormat="false" ht="14.25" hidden="false" customHeight="false" outlineLevel="0" collapsed="false">
      <c r="B782" s="2"/>
    </row>
    <row r="783" customFormat="false" ht="14.25" hidden="false" customHeight="false" outlineLevel="0" collapsed="false">
      <c r="B783" s="2"/>
    </row>
    <row r="784" customFormat="false" ht="14.25" hidden="false" customHeight="false" outlineLevel="0" collapsed="false">
      <c r="B784" s="2"/>
    </row>
    <row r="785" customFormat="false" ht="14.25" hidden="false" customHeight="false" outlineLevel="0" collapsed="false">
      <c r="B785" s="2"/>
    </row>
    <row r="786" customFormat="false" ht="14.25" hidden="false" customHeight="false" outlineLevel="0" collapsed="false">
      <c r="B786" s="2"/>
    </row>
    <row r="787" customFormat="false" ht="14.25" hidden="false" customHeight="false" outlineLevel="0" collapsed="false">
      <c r="B787" s="2"/>
    </row>
    <row r="788" customFormat="false" ht="14.25" hidden="false" customHeight="false" outlineLevel="0" collapsed="false">
      <c r="B788" s="2"/>
    </row>
    <row r="789" customFormat="false" ht="14.25" hidden="false" customHeight="false" outlineLevel="0" collapsed="false">
      <c r="B789" s="2"/>
    </row>
    <row r="790" customFormat="false" ht="14.25" hidden="false" customHeight="false" outlineLevel="0" collapsed="false">
      <c r="B790" s="2"/>
    </row>
    <row r="791" customFormat="false" ht="14.25" hidden="false" customHeight="false" outlineLevel="0" collapsed="false">
      <c r="B791" s="2"/>
    </row>
    <row r="792" customFormat="false" ht="14.25" hidden="false" customHeight="false" outlineLevel="0" collapsed="false">
      <c r="B792" s="2"/>
    </row>
    <row r="793" customFormat="false" ht="14.25" hidden="false" customHeight="false" outlineLevel="0" collapsed="false">
      <c r="B793" s="2"/>
    </row>
    <row r="794" customFormat="false" ht="14.25" hidden="false" customHeight="false" outlineLevel="0" collapsed="false">
      <c r="B794" s="2"/>
    </row>
    <row r="795" customFormat="false" ht="14.25" hidden="false" customHeight="false" outlineLevel="0" collapsed="false">
      <c r="B795" s="2"/>
    </row>
    <row r="796" customFormat="false" ht="14.25" hidden="false" customHeight="false" outlineLevel="0" collapsed="false">
      <c r="B796" s="2"/>
    </row>
    <row r="797" customFormat="false" ht="14.25" hidden="false" customHeight="false" outlineLevel="0" collapsed="false">
      <c r="B797" s="2"/>
    </row>
    <row r="798" customFormat="false" ht="14.25" hidden="false" customHeight="false" outlineLevel="0" collapsed="false">
      <c r="B798" s="2"/>
    </row>
    <row r="799" customFormat="false" ht="14.25" hidden="false" customHeight="false" outlineLevel="0" collapsed="false">
      <c r="B799" s="2"/>
    </row>
    <row r="800" customFormat="false" ht="14.25" hidden="false" customHeight="false" outlineLevel="0" collapsed="false">
      <c r="B800" s="2"/>
    </row>
    <row r="801" customFormat="false" ht="14.25" hidden="false" customHeight="false" outlineLevel="0" collapsed="false">
      <c r="B801" s="2"/>
    </row>
    <row r="802" customFormat="false" ht="14.25" hidden="false" customHeight="false" outlineLevel="0" collapsed="false">
      <c r="B802" s="2"/>
    </row>
    <row r="803" customFormat="false" ht="14.25" hidden="false" customHeight="false" outlineLevel="0" collapsed="false">
      <c r="B803" s="2"/>
    </row>
    <row r="804" customFormat="false" ht="14.25" hidden="false" customHeight="false" outlineLevel="0" collapsed="false">
      <c r="B804" s="2"/>
    </row>
    <row r="805" customFormat="false" ht="14.25" hidden="false" customHeight="false" outlineLevel="0" collapsed="false">
      <c r="B805" s="2"/>
    </row>
    <row r="806" customFormat="false" ht="14.25" hidden="false" customHeight="false" outlineLevel="0" collapsed="false">
      <c r="B806" s="2"/>
    </row>
    <row r="807" customFormat="false" ht="14.25" hidden="false" customHeight="false" outlineLevel="0" collapsed="false">
      <c r="B807" s="2"/>
    </row>
    <row r="808" customFormat="false" ht="14.25" hidden="false" customHeight="false" outlineLevel="0" collapsed="false">
      <c r="B808" s="2"/>
    </row>
    <row r="809" customFormat="false" ht="14.25" hidden="false" customHeight="false" outlineLevel="0" collapsed="false">
      <c r="B809" s="2"/>
    </row>
    <row r="810" customFormat="false" ht="14.25" hidden="false" customHeight="false" outlineLevel="0" collapsed="false">
      <c r="B810" s="2"/>
    </row>
    <row r="811" customFormat="false" ht="14.25" hidden="false" customHeight="false" outlineLevel="0" collapsed="false">
      <c r="B811" s="2"/>
    </row>
    <row r="812" customFormat="false" ht="14.25" hidden="false" customHeight="false" outlineLevel="0" collapsed="false">
      <c r="B812" s="2"/>
    </row>
    <row r="813" customFormat="false" ht="14.25" hidden="false" customHeight="false" outlineLevel="0" collapsed="false">
      <c r="B813" s="2"/>
    </row>
    <row r="814" customFormat="false" ht="14.25" hidden="false" customHeight="false" outlineLevel="0" collapsed="false">
      <c r="B814" s="2"/>
    </row>
    <row r="815" customFormat="false" ht="14.25" hidden="false" customHeight="false" outlineLevel="0" collapsed="false">
      <c r="B815" s="2"/>
    </row>
    <row r="816" customFormat="false" ht="14.25" hidden="false" customHeight="false" outlineLevel="0" collapsed="false">
      <c r="B816" s="2"/>
    </row>
    <row r="817" customFormat="false" ht="14.25" hidden="false" customHeight="false" outlineLevel="0" collapsed="false">
      <c r="B817" s="2"/>
    </row>
    <row r="818" customFormat="false" ht="14.25" hidden="false" customHeight="false" outlineLevel="0" collapsed="false">
      <c r="B818" s="2"/>
    </row>
    <row r="819" customFormat="false" ht="14.25" hidden="false" customHeight="false" outlineLevel="0" collapsed="false">
      <c r="B819" s="2"/>
    </row>
    <row r="820" customFormat="false" ht="14.25" hidden="false" customHeight="false" outlineLevel="0" collapsed="false">
      <c r="B820" s="2"/>
    </row>
    <row r="821" customFormat="false" ht="14.25" hidden="false" customHeight="false" outlineLevel="0" collapsed="false">
      <c r="B821" s="2"/>
    </row>
    <row r="822" customFormat="false" ht="14.25" hidden="false" customHeight="false" outlineLevel="0" collapsed="false">
      <c r="B822" s="2"/>
    </row>
    <row r="823" customFormat="false" ht="14.25" hidden="false" customHeight="false" outlineLevel="0" collapsed="false">
      <c r="B823" s="2"/>
    </row>
    <row r="824" customFormat="false" ht="14.25" hidden="false" customHeight="false" outlineLevel="0" collapsed="false">
      <c r="B824" s="2"/>
    </row>
    <row r="825" customFormat="false" ht="14.25" hidden="false" customHeight="false" outlineLevel="0" collapsed="false">
      <c r="B825" s="2"/>
    </row>
    <row r="826" customFormat="false" ht="14.25" hidden="false" customHeight="false" outlineLevel="0" collapsed="false">
      <c r="B826" s="2"/>
    </row>
    <row r="827" customFormat="false" ht="14.25" hidden="false" customHeight="false" outlineLevel="0" collapsed="false">
      <c r="B827" s="2"/>
    </row>
    <row r="828" customFormat="false" ht="14.25" hidden="false" customHeight="false" outlineLevel="0" collapsed="false">
      <c r="B828" s="2"/>
    </row>
    <row r="829" customFormat="false" ht="14.25" hidden="false" customHeight="false" outlineLevel="0" collapsed="false">
      <c r="B829" s="2"/>
    </row>
    <row r="830" customFormat="false" ht="14.25" hidden="false" customHeight="false" outlineLevel="0" collapsed="false">
      <c r="B830" s="2"/>
    </row>
    <row r="831" customFormat="false" ht="14.25" hidden="false" customHeight="false" outlineLevel="0" collapsed="false">
      <c r="B831" s="2"/>
    </row>
    <row r="832" customFormat="false" ht="14.25" hidden="false" customHeight="false" outlineLevel="0" collapsed="false">
      <c r="B832" s="2"/>
    </row>
    <row r="833" customFormat="false" ht="14.25" hidden="false" customHeight="false" outlineLevel="0" collapsed="false">
      <c r="B833" s="2"/>
    </row>
    <row r="834" customFormat="false" ht="14.25" hidden="false" customHeight="false" outlineLevel="0" collapsed="false">
      <c r="B834" s="2"/>
    </row>
    <row r="835" customFormat="false" ht="14.25" hidden="false" customHeight="false" outlineLevel="0" collapsed="false">
      <c r="B835" s="2"/>
    </row>
    <row r="836" customFormat="false" ht="14.25" hidden="false" customHeight="false" outlineLevel="0" collapsed="false">
      <c r="B836" s="2"/>
    </row>
    <row r="837" customFormat="false" ht="14.25" hidden="false" customHeight="false" outlineLevel="0" collapsed="false">
      <c r="B837" s="2"/>
    </row>
    <row r="838" customFormat="false" ht="14.25" hidden="false" customHeight="false" outlineLevel="0" collapsed="false">
      <c r="B838" s="2"/>
    </row>
    <row r="839" customFormat="false" ht="14.25" hidden="false" customHeight="false" outlineLevel="0" collapsed="false">
      <c r="B839" s="2"/>
    </row>
    <row r="840" customFormat="false" ht="14.25" hidden="false" customHeight="false" outlineLevel="0" collapsed="false">
      <c r="B840" s="2"/>
    </row>
    <row r="841" customFormat="false" ht="14.25" hidden="false" customHeight="false" outlineLevel="0" collapsed="false">
      <c r="B841" s="2"/>
    </row>
    <row r="842" customFormat="false" ht="14.25" hidden="false" customHeight="false" outlineLevel="0" collapsed="false">
      <c r="B842" s="2"/>
    </row>
    <row r="843" customFormat="false" ht="14.25" hidden="false" customHeight="false" outlineLevel="0" collapsed="false">
      <c r="B843" s="2"/>
    </row>
    <row r="844" customFormat="false" ht="14.25" hidden="false" customHeight="false" outlineLevel="0" collapsed="false">
      <c r="B844" s="2"/>
    </row>
    <row r="845" customFormat="false" ht="14.25" hidden="false" customHeight="false" outlineLevel="0" collapsed="false">
      <c r="B845" s="2"/>
    </row>
    <row r="846" customFormat="false" ht="14.25" hidden="false" customHeight="false" outlineLevel="0" collapsed="false">
      <c r="B846" s="2"/>
    </row>
    <row r="847" customFormat="false" ht="14.25" hidden="false" customHeight="false" outlineLevel="0" collapsed="false">
      <c r="B847" s="2"/>
    </row>
    <row r="848" customFormat="false" ht="14.25" hidden="false" customHeight="false" outlineLevel="0" collapsed="false">
      <c r="B848" s="2"/>
    </row>
    <row r="849" customFormat="false" ht="14.25" hidden="false" customHeight="false" outlineLevel="0" collapsed="false">
      <c r="B849" s="2"/>
    </row>
    <row r="850" customFormat="false" ht="14.25" hidden="false" customHeight="false" outlineLevel="0" collapsed="false">
      <c r="B850" s="2"/>
    </row>
    <row r="851" customFormat="false" ht="14.25" hidden="false" customHeight="false" outlineLevel="0" collapsed="false">
      <c r="B851" s="2"/>
    </row>
    <row r="852" customFormat="false" ht="14.25" hidden="false" customHeight="false" outlineLevel="0" collapsed="false">
      <c r="B852" s="2"/>
    </row>
    <row r="853" customFormat="false" ht="14.25" hidden="false" customHeight="false" outlineLevel="0" collapsed="false">
      <c r="B853" s="2"/>
    </row>
    <row r="854" customFormat="false" ht="14.25" hidden="false" customHeight="false" outlineLevel="0" collapsed="false">
      <c r="B854" s="2"/>
    </row>
    <row r="855" customFormat="false" ht="14.25" hidden="false" customHeight="false" outlineLevel="0" collapsed="false">
      <c r="B855" s="2"/>
    </row>
    <row r="856" customFormat="false" ht="14.25" hidden="false" customHeight="false" outlineLevel="0" collapsed="false">
      <c r="B856" s="2"/>
    </row>
    <row r="857" customFormat="false" ht="14.25" hidden="false" customHeight="false" outlineLevel="0" collapsed="false">
      <c r="B857" s="2"/>
    </row>
    <row r="858" customFormat="false" ht="14.25" hidden="false" customHeight="false" outlineLevel="0" collapsed="false">
      <c r="B858" s="2"/>
    </row>
    <row r="859" customFormat="false" ht="14.25" hidden="false" customHeight="false" outlineLevel="0" collapsed="false">
      <c r="B859" s="2"/>
    </row>
    <row r="860" customFormat="false" ht="14.25" hidden="false" customHeight="false" outlineLevel="0" collapsed="false">
      <c r="B860" s="2"/>
    </row>
    <row r="861" customFormat="false" ht="14.25" hidden="false" customHeight="false" outlineLevel="0" collapsed="false">
      <c r="B861" s="2"/>
    </row>
    <row r="862" customFormat="false" ht="14.25" hidden="false" customHeight="false" outlineLevel="0" collapsed="false">
      <c r="B862" s="2"/>
    </row>
    <row r="863" customFormat="false" ht="14.25" hidden="false" customHeight="false" outlineLevel="0" collapsed="false">
      <c r="B863" s="2"/>
    </row>
    <row r="864" customFormat="false" ht="14.25" hidden="false" customHeight="false" outlineLevel="0" collapsed="false">
      <c r="B864" s="2"/>
    </row>
    <row r="865" customFormat="false" ht="14.25" hidden="false" customHeight="false" outlineLevel="0" collapsed="false">
      <c r="B865" s="2"/>
    </row>
    <row r="866" customFormat="false" ht="14.25" hidden="false" customHeight="false" outlineLevel="0" collapsed="false">
      <c r="B866" s="2"/>
    </row>
    <row r="867" customFormat="false" ht="14.25" hidden="false" customHeight="false" outlineLevel="0" collapsed="false">
      <c r="B867" s="2"/>
    </row>
    <row r="868" customFormat="false" ht="14.25" hidden="false" customHeight="false" outlineLevel="0" collapsed="false">
      <c r="B868" s="2"/>
    </row>
    <row r="869" customFormat="false" ht="14.25" hidden="false" customHeight="false" outlineLevel="0" collapsed="false">
      <c r="B869" s="2"/>
    </row>
    <row r="870" customFormat="false" ht="14.25" hidden="false" customHeight="false" outlineLevel="0" collapsed="false">
      <c r="B870" s="2"/>
    </row>
    <row r="871" customFormat="false" ht="14.25" hidden="false" customHeight="false" outlineLevel="0" collapsed="false">
      <c r="B871" s="2"/>
    </row>
    <row r="872" customFormat="false" ht="14.25" hidden="false" customHeight="false" outlineLevel="0" collapsed="false">
      <c r="B872" s="2"/>
    </row>
    <row r="873" customFormat="false" ht="14.25" hidden="false" customHeight="false" outlineLevel="0" collapsed="false">
      <c r="B873" s="2"/>
    </row>
    <row r="874" customFormat="false" ht="14.25" hidden="false" customHeight="false" outlineLevel="0" collapsed="false">
      <c r="B874" s="2"/>
    </row>
    <row r="875" customFormat="false" ht="14.25" hidden="false" customHeight="false" outlineLevel="0" collapsed="false">
      <c r="B875" s="2"/>
    </row>
    <row r="876" customFormat="false" ht="14.25" hidden="false" customHeight="false" outlineLevel="0" collapsed="false">
      <c r="B876" s="2"/>
    </row>
    <row r="877" customFormat="false" ht="14.25" hidden="false" customHeight="false" outlineLevel="0" collapsed="false">
      <c r="B877" s="2"/>
    </row>
    <row r="878" customFormat="false" ht="14.25" hidden="false" customHeight="false" outlineLevel="0" collapsed="false">
      <c r="B878" s="2"/>
    </row>
    <row r="879" customFormat="false" ht="14.25" hidden="false" customHeight="false" outlineLevel="0" collapsed="false">
      <c r="B879" s="2"/>
    </row>
    <row r="880" customFormat="false" ht="14.25" hidden="false" customHeight="false" outlineLevel="0" collapsed="false">
      <c r="B880" s="2"/>
    </row>
    <row r="881" customFormat="false" ht="14.25" hidden="false" customHeight="false" outlineLevel="0" collapsed="false">
      <c r="B881" s="2"/>
    </row>
    <row r="882" customFormat="false" ht="14.25" hidden="false" customHeight="false" outlineLevel="0" collapsed="false">
      <c r="B882" s="2"/>
    </row>
    <row r="883" customFormat="false" ht="14.25" hidden="false" customHeight="false" outlineLevel="0" collapsed="false">
      <c r="B883" s="2"/>
    </row>
    <row r="884" customFormat="false" ht="14.25" hidden="false" customHeight="false" outlineLevel="0" collapsed="false">
      <c r="B884" s="2"/>
    </row>
    <row r="885" customFormat="false" ht="14.25" hidden="false" customHeight="false" outlineLevel="0" collapsed="false">
      <c r="B885" s="2"/>
    </row>
    <row r="886" customFormat="false" ht="14.25" hidden="false" customHeight="false" outlineLevel="0" collapsed="false">
      <c r="B886" s="2"/>
    </row>
    <row r="887" customFormat="false" ht="14.25" hidden="false" customHeight="false" outlineLevel="0" collapsed="false">
      <c r="B887" s="2"/>
    </row>
    <row r="888" customFormat="false" ht="14.25" hidden="false" customHeight="false" outlineLevel="0" collapsed="false">
      <c r="B888" s="2"/>
    </row>
    <row r="889" customFormat="false" ht="14.25" hidden="false" customHeight="false" outlineLevel="0" collapsed="false">
      <c r="B889" s="2"/>
    </row>
    <row r="890" customFormat="false" ht="14.25" hidden="false" customHeight="false" outlineLevel="0" collapsed="false">
      <c r="B890" s="2"/>
    </row>
    <row r="891" customFormat="false" ht="14.25" hidden="false" customHeight="false" outlineLevel="0" collapsed="false">
      <c r="B891" s="2"/>
    </row>
    <row r="892" customFormat="false" ht="14.25" hidden="false" customHeight="false" outlineLevel="0" collapsed="false">
      <c r="B892" s="2"/>
    </row>
    <row r="893" customFormat="false" ht="14.25" hidden="false" customHeight="false" outlineLevel="0" collapsed="false">
      <c r="B893" s="2"/>
    </row>
    <row r="894" customFormat="false" ht="14.25" hidden="false" customHeight="false" outlineLevel="0" collapsed="false">
      <c r="B894" s="2"/>
    </row>
    <row r="895" customFormat="false" ht="14.25" hidden="false" customHeight="false" outlineLevel="0" collapsed="false">
      <c r="B895" s="2"/>
    </row>
    <row r="896" customFormat="false" ht="14.25" hidden="false" customHeight="false" outlineLevel="0" collapsed="false">
      <c r="B896" s="2"/>
    </row>
    <row r="897" customFormat="false" ht="14.25" hidden="false" customHeight="false" outlineLevel="0" collapsed="false">
      <c r="B897" s="2"/>
    </row>
    <row r="898" customFormat="false" ht="14.25" hidden="false" customHeight="false" outlineLevel="0" collapsed="false">
      <c r="B898" s="2"/>
    </row>
    <row r="899" customFormat="false" ht="14.25" hidden="false" customHeight="false" outlineLevel="0" collapsed="false">
      <c r="B899" s="2"/>
    </row>
    <row r="900" customFormat="false" ht="14.25" hidden="false" customHeight="false" outlineLevel="0" collapsed="false">
      <c r="B900" s="2"/>
    </row>
    <row r="901" customFormat="false" ht="14.25" hidden="false" customHeight="false" outlineLevel="0" collapsed="false">
      <c r="B901" s="2"/>
    </row>
    <row r="902" customFormat="false" ht="14.25" hidden="false" customHeight="false" outlineLevel="0" collapsed="false">
      <c r="B902" s="2"/>
    </row>
    <row r="903" customFormat="false" ht="14.25" hidden="false" customHeight="false" outlineLevel="0" collapsed="false">
      <c r="B903" s="2"/>
    </row>
    <row r="904" customFormat="false" ht="14.25" hidden="false" customHeight="false" outlineLevel="0" collapsed="false">
      <c r="B904" s="2"/>
    </row>
    <row r="905" customFormat="false" ht="14.25" hidden="false" customHeight="false" outlineLevel="0" collapsed="false">
      <c r="B905" s="2"/>
    </row>
    <row r="906" customFormat="false" ht="14.25" hidden="false" customHeight="false" outlineLevel="0" collapsed="false">
      <c r="B906" s="2"/>
    </row>
    <row r="907" customFormat="false" ht="14.25" hidden="false" customHeight="false" outlineLevel="0" collapsed="false">
      <c r="B907" s="2"/>
    </row>
    <row r="908" customFormat="false" ht="14.25" hidden="false" customHeight="false" outlineLevel="0" collapsed="false">
      <c r="B908" s="2"/>
    </row>
    <row r="909" customFormat="false" ht="14.25" hidden="false" customHeight="false" outlineLevel="0" collapsed="false">
      <c r="B909" s="2"/>
    </row>
    <row r="910" customFormat="false" ht="14.25" hidden="false" customHeight="false" outlineLevel="0" collapsed="false">
      <c r="B910" s="2"/>
    </row>
    <row r="911" customFormat="false" ht="14.25" hidden="false" customHeight="false" outlineLevel="0" collapsed="false">
      <c r="B911" s="2"/>
    </row>
    <row r="912" customFormat="false" ht="14.25" hidden="false" customHeight="false" outlineLevel="0" collapsed="false">
      <c r="B912" s="2"/>
    </row>
    <row r="913" customFormat="false" ht="14.25" hidden="false" customHeight="false" outlineLevel="0" collapsed="false">
      <c r="B913" s="2"/>
    </row>
    <row r="914" customFormat="false" ht="14.25" hidden="false" customHeight="false" outlineLevel="0" collapsed="false">
      <c r="B914" s="2"/>
    </row>
    <row r="915" customFormat="false" ht="14.25" hidden="false" customHeight="false" outlineLevel="0" collapsed="false">
      <c r="B915" s="2"/>
    </row>
    <row r="916" customFormat="false" ht="14.25" hidden="false" customHeight="false" outlineLevel="0" collapsed="false">
      <c r="B916" s="2"/>
    </row>
    <row r="917" customFormat="false" ht="14.25" hidden="false" customHeight="false" outlineLevel="0" collapsed="false">
      <c r="B917" s="2"/>
    </row>
    <row r="918" customFormat="false" ht="14.25" hidden="false" customHeight="false" outlineLevel="0" collapsed="false">
      <c r="B918" s="2"/>
    </row>
    <row r="919" customFormat="false" ht="14.25" hidden="false" customHeight="false" outlineLevel="0" collapsed="false">
      <c r="B919" s="2"/>
    </row>
    <row r="920" customFormat="false" ht="14.25" hidden="false" customHeight="false" outlineLevel="0" collapsed="false">
      <c r="B920" s="2"/>
    </row>
    <row r="921" customFormat="false" ht="14.25" hidden="false" customHeight="false" outlineLevel="0" collapsed="false">
      <c r="B921" s="2"/>
    </row>
    <row r="922" customFormat="false" ht="14.25" hidden="false" customHeight="false" outlineLevel="0" collapsed="false">
      <c r="B922" s="2"/>
    </row>
    <row r="923" customFormat="false" ht="14.25" hidden="false" customHeight="false" outlineLevel="0" collapsed="false">
      <c r="B923" s="2"/>
    </row>
    <row r="924" customFormat="false" ht="14.25" hidden="false" customHeight="false" outlineLevel="0" collapsed="false">
      <c r="B924" s="2"/>
    </row>
    <row r="925" customFormat="false" ht="14.25" hidden="false" customHeight="false" outlineLevel="0" collapsed="false">
      <c r="B925" s="2"/>
    </row>
    <row r="926" customFormat="false" ht="14.25" hidden="false" customHeight="false" outlineLevel="0" collapsed="false">
      <c r="B926" s="2"/>
    </row>
    <row r="927" customFormat="false" ht="14.25" hidden="false" customHeight="false" outlineLevel="0" collapsed="false">
      <c r="B927" s="2"/>
    </row>
    <row r="928" customFormat="false" ht="14.25" hidden="false" customHeight="false" outlineLevel="0" collapsed="false">
      <c r="B928" s="2"/>
    </row>
    <row r="929" customFormat="false" ht="14.25" hidden="false" customHeight="false" outlineLevel="0" collapsed="false">
      <c r="B929" s="2"/>
    </row>
    <row r="930" customFormat="false" ht="14.25" hidden="false" customHeight="false" outlineLevel="0" collapsed="false">
      <c r="B930" s="2"/>
    </row>
    <row r="931" customFormat="false" ht="14.25" hidden="false" customHeight="false" outlineLevel="0" collapsed="false">
      <c r="B931" s="2"/>
    </row>
    <row r="932" customFormat="false" ht="14.25" hidden="false" customHeight="false" outlineLevel="0" collapsed="false">
      <c r="B932" s="2"/>
    </row>
    <row r="933" customFormat="false" ht="14.25" hidden="false" customHeight="false" outlineLevel="0" collapsed="false">
      <c r="B933" s="2"/>
    </row>
    <row r="934" customFormat="false" ht="14.25" hidden="false" customHeight="false" outlineLevel="0" collapsed="false">
      <c r="B934" s="2"/>
    </row>
    <row r="935" customFormat="false" ht="14.25" hidden="false" customHeight="false" outlineLevel="0" collapsed="false">
      <c r="B935" s="2"/>
    </row>
    <row r="936" customFormat="false" ht="14.25" hidden="false" customHeight="false" outlineLevel="0" collapsed="false">
      <c r="B936" s="2"/>
    </row>
    <row r="937" customFormat="false" ht="14.25" hidden="false" customHeight="false" outlineLevel="0" collapsed="false">
      <c r="B937" s="2"/>
    </row>
    <row r="938" customFormat="false" ht="14.25" hidden="false" customHeight="false" outlineLevel="0" collapsed="false">
      <c r="B938" s="2"/>
    </row>
    <row r="939" customFormat="false" ht="14.25" hidden="false" customHeight="false" outlineLevel="0" collapsed="false">
      <c r="B939" s="2"/>
    </row>
    <row r="940" customFormat="false" ht="14.25" hidden="false" customHeight="false" outlineLevel="0" collapsed="false">
      <c r="B940" s="2"/>
    </row>
    <row r="941" customFormat="false" ht="14.25" hidden="false" customHeight="false" outlineLevel="0" collapsed="false">
      <c r="B941" s="2"/>
    </row>
    <row r="942" customFormat="false" ht="14.25" hidden="false" customHeight="false" outlineLevel="0" collapsed="false">
      <c r="B942" s="2"/>
    </row>
    <row r="943" customFormat="false" ht="14.25" hidden="false" customHeight="false" outlineLevel="0" collapsed="false">
      <c r="B943" s="2"/>
    </row>
    <row r="944" customFormat="false" ht="14.25" hidden="false" customHeight="false" outlineLevel="0" collapsed="false">
      <c r="B944" s="2"/>
    </row>
    <row r="945" customFormat="false" ht="14.25" hidden="false" customHeight="false" outlineLevel="0" collapsed="false">
      <c r="B945" s="2"/>
    </row>
    <row r="946" customFormat="false" ht="14.25" hidden="false" customHeight="false" outlineLevel="0" collapsed="false">
      <c r="B946" s="2"/>
    </row>
    <row r="947" customFormat="false" ht="14.25" hidden="false" customHeight="false" outlineLevel="0" collapsed="false">
      <c r="B947" s="2"/>
    </row>
    <row r="948" customFormat="false" ht="14.25" hidden="false" customHeight="false" outlineLevel="0" collapsed="false">
      <c r="B948" s="2"/>
    </row>
    <row r="949" customFormat="false" ht="14.25" hidden="false" customHeight="false" outlineLevel="0" collapsed="false">
      <c r="B949" s="2"/>
    </row>
    <row r="950" customFormat="false" ht="14.25" hidden="false" customHeight="false" outlineLevel="0" collapsed="false">
      <c r="B950" s="2"/>
    </row>
    <row r="951" customFormat="false" ht="14.25" hidden="false" customHeight="false" outlineLevel="0" collapsed="false">
      <c r="B951" s="2"/>
    </row>
    <row r="952" customFormat="false" ht="14.25" hidden="false" customHeight="false" outlineLevel="0" collapsed="false">
      <c r="B952" s="2"/>
    </row>
    <row r="953" customFormat="false" ht="14.25" hidden="false" customHeight="false" outlineLevel="0" collapsed="false">
      <c r="B953" s="2"/>
    </row>
    <row r="954" customFormat="false" ht="14.25" hidden="false" customHeight="false" outlineLevel="0" collapsed="false">
      <c r="B954" s="2"/>
    </row>
    <row r="955" customFormat="false" ht="14.25" hidden="false" customHeight="false" outlineLevel="0" collapsed="false">
      <c r="B955" s="2"/>
    </row>
    <row r="956" customFormat="false" ht="14.25" hidden="false" customHeight="false" outlineLevel="0" collapsed="false">
      <c r="B956" s="2"/>
    </row>
    <row r="957" customFormat="false" ht="14.25" hidden="false" customHeight="false" outlineLevel="0" collapsed="false">
      <c r="B957" s="2"/>
    </row>
    <row r="958" customFormat="false" ht="14.25" hidden="false" customHeight="false" outlineLevel="0" collapsed="false">
      <c r="B958" s="2"/>
    </row>
    <row r="959" customFormat="false" ht="14.25" hidden="false" customHeight="false" outlineLevel="0" collapsed="false">
      <c r="B959" s="2"/>
    </row>
    <row r="960" customFormat="false" ht="14.25" hidden="false" customHeight="false" outlineLevel="0" collapsed="false">
      <c r="B960" s="2"/>
    </row>
    <row r="961" customFormat="false" ht="14.25" hidden="false" customHeight="false" outlineLevel="0" collapsed="false">
      <c r="B961" s="2"/>
    </row>
    <row r="962" customFormat="false" ht="14.25" hidden="false" customHeight="false" outlineLevel="0" collapsed="false">
      <c r="B962" s="2"/>
    </row>
    <row r="963" customFormat="false" ht="14.25" hidden="false" customHeight="false" outlineLevel="0" collapsed="false">
      <c r="B963" s="2"/>
    </row>
    <row r="964" customFormat="false" ht="14.25" hidden="false" customHeight="false" outlineLevel="0" collapsed="false">
      <c r="B964" s="2"/>
    </row>
    <row r="965" customFormat="false" ht="14.25" hidden="false" customHeight="false" outlineLevel="0" collapsed="false">
      <c r="B965" s="2"/>
    </row>
    <row r="966" customFormat="false" ht="14.25" hidden="false" customHeight="false" outlineLevel="0" collapsed="false">
      <c r="B966" s="2"/>
    </row>
    <row r="967" customFormat="false" ht="14.25" hidden="false" customHeight="false" outlineLevel="0" collapsed="false">
      <c r="B967" s="2"/>
    </row>
    <row r="968" customFormat="false" ht="14.25" hidden="false" customHeight="false" outlineLevel="0" collapsed="false">
      <c r="B968" s="2"/>
    </row>
    <row r="969" customFormat="false" ht="14.25" hidden="false" customHeight="false" outlineLevel="0" collapsed="false">
      <c r="B969" s="2"/>
    </row>
    <row r="970" customFormat="false" ht="14.25" hidden="false" customHeight="false" outlineLevel="0" collapsed="false">
      <c r="B970" s="2"/>
    </row>
    <row r="971" customFormat="false" ht="14.25" hidden="false" customHeight="false" outlineLevel="0" collapsed="false">
      <c r="B971" s="2"/>
    </row>
    <row r="972" customFormat="false" ht="14.25" hidden="false" customHeight="false" outlineLevel="0" collapsed="false">
      <c r="B972" s="2"/>
    </row>
    <row r="973" customFormat="false" ht="14.25" hidden="false" customHeight="false" outlineLevel="0" collapsed="false">
      <c r="B973" s="2"/>
    </row>
    <row r="974" customFormat="false" ht="14.25" hidden="false" customHeight="false" outlineLevel="0" collapsed="false">
      <c r="B974" s="2"/>
    </row>
    <row r="975" customFormat="false" ht="14.25" hidden="false" customHeight="false" outlineLevel="0" collapsed="false">
      <c r="B975" s="2"/>
    </row>
    <row r="976" customFormat="false" ht="14.25" hidden="false" customHeight="false" outlineLevel="0" collapsed="false">
      <c r="B976" s="2"/>
    </row>
    <row r="977" customFormat="false" ht="14.25" hidden="false" customHeight="false" outlineLevel="0" collapsed="false">
      <c r="B977" s="2"/>
    </row>
    <row r="978" customFormat="false" ht="14.25" hidden="false" customHeight="false" outlineLevel="0" collapsed="false">
      <c r="B978" s="2"/>
    </row>
    <row r="979" customFormat="false" ht="14.25" hidden="false" customHeight="false" outlineLevel="0" collapsed="false">
      <c r="B979" s="2"/>
    </row>
    <row r="980" customFormat="false" ht="14.25" hidden="false" customHeight="false" outlineLevel="0" collapsed="false">
      <c r="B980" s="2"/>
    </row>
    <row r="981" customFormat="false" ht="14.25" hidden="false" customHeight="false" outlineLevel="0" collapsed="false">
      <c r="B981" s="2"/>
    </row>
    <row r="982" customFormat="false" ht="14.25" hidden="false" customHeight="false" outlineLevel="0" collapsed="false">
      <c r="B982" s="2"/>
    </row>
    <row r="983" customFormat="false" ht="14.25" hidden="false" customHeight="false" outlineLevel="0" collapsed="false">
      <c r="B983" s="2"/>
    </row>
    <row r="984" customFormat="false" ht="14.25" hidden="false" customHeight="false" outlineLevel="0" collapsed="false">
      <c r="B984" s="2"/>
    </row>
    <row r="985" customFormat="false" ht="14.25" hidden="false" customHeight="false" outlineLevel="0" collapsed="false">
      <c r="B985" s="2"/>
    </row>
    <row r="986" customFormat="false" ht="14.25" hidden="false" customHeight="false" outlineLevel="0" collapsed="false">
      <c r="B986" s="2"/>
    </row>
    <row r="987" customFormat="false" ht="14.25" hidden="false" customHeight="false" outlineLevel="0" collapsed="false">
      <c r="B987" s="2"/>
    </row>
    <row r="988" customFormat="false" ht="14.25" hidden="false" customHeight="false" outlineLevel="0" collapsed="false">
      <c r="B988" s="2"/>
    </row>
    <row r="989" customFormat="false" ht="14.25" hidden="false" customHeight="false" outlineLevel="0" collapsed="false">
      <c r="B989" s="2"/>
    </row>
    <row r="990" customFormat="false" ht="14.25" hidden="false" customHeight="false" outlineLevel="0" collapsed="false">
      <c r="B990" s="2"/>
    </row>
    <row r="991" customFormat="false" ht="14.25" hidden="false" customHeight="false" outlineLevel="0" collapsed="false">
      <c r="B991" s="2"/>
    </row>
    <row r="992" customFormat="false" ht="14.25" hidden="false" customHeight="false" outlineLevel="0" collapsed="false">
      <c r="B992" s="2"/>
    </row>
    <row r="993" customFormat="false" ht="14.25" hidden="false" customHeight="false" outlineLevel="0" collapsed="false">
      <c r="B993" s="2"/>
    </row>
    <row r="994" customFormat="false" ht="14.25" hidden="false" customHeight="false" outlineLevel="0" collapsed="false">
      <c r="B994" s="2"/>
    </row>
    <row r="995" customFormat="false" ht="14.25" hidden="false" customHeight="false" outlineLevel="0" collapsed="false">
      <c r="B995" s="2"/>
    </row>
    <row r="996" customFormat="false" ht="14.25" hidden="false" customHeight="false" outlineLevel="0" collapsed="false">
      <c r="B996" s="2"/>
    </row>
    <row r="997" customFormat="false" ht="14.25" hidden="false" customHeight="false" outlineLevel="0" collapsed="false">
      <c r="B997" s="2"/>
    </row>
    <row r="998" customFormat="false" ht="14.25" hidden="false" customHeight="false" outlineLevel="0" collapsed="false">
      <c r="B998" s="2"/>
    </row>
    <row r="999" customFormat="false" ht="14.25" hidden="false" customHeight="false" outlineLevel="0" collapsed="false">
      <c r="B999" s="2"/>
    </row>
    <row r="1000" customFormat="false" ht="14.25" hidden="false" customHeight="false" outlineLevel="0" collapsed="false">
      <c r="B1000" s="2"/>
    </row>
    <row r="1001" customFormat="false" ht="14.25" hidden="false" customHeight="false" outlineLevel="0" collapsed="false">
      <c r="B1001" s="2"/>
    </row>
    <row r="1002" customFormat="false" ht="14.25" hidden="false" customHeight="false" outlineLevel="0" collapsed="false">
      <c r="B1002" s="2"/>
    </row>
    <row r="1003" customFormat="false" ht="14.25" hidden="false" customHeight="false" outlineLevel="0" collapsed="false">
      <c r="B1003" s="2"/>
    </row>
    <row r="1004" customFormat="false" ht="14.25" hidden="false" customHeight="false" outlineLevel="0" collapsed="false">
      <c r="B1004" s="2"/>
    </row>
    <row r="1005" customFormat="false" ht="14.25" hidden="false" customHeight="false" outlineLevel="0" collapsed="false">
      <c r="B1005" s="2"/>
    </row>
    <row r="1006" customFormat="false" ht="14.25" hidden="false" customHeight="false" outlineLevel="0" collapsed="false">
      <c r="B1006" s="2"/>
    </row>
    <row r="1007" customFormat="false" ht="14.25" hidden="false" customHeight="false" outlineLevel="0" collapsed="false">
      <c r="B1007" s="2"/>
    </row>
    <row r="1008" customFormat="false" ht="14.25" hidden="false" customHeight="false" outlineLevel="0" collapsed="false">
      <c r="B1008" s="2"/>
    </row>
    <row r="1009" customFormat="false" ht="14.25" hidden="false" customHeight="false" outlineLevel="0" collapsed="false">
      <c r="B1009" s="2"/>
    </row>
    <row r="1010" customFormat="false" ht="14.25" hidden="false" customHeight="false" outlineLevel="0" collapsed="false">
      <c r="B1010" s="2"/>
    </row>
    <row r="1011" customFormat="false" ht="14.25" hidden="false" customHeight="false" outlineLevel="0" collapsed="false">
      <c r="B1011" s="2"/>
    </row>
    <row r="1012" customFormat="false" ht="14.25" hidden="false" customHeight="false" outlineLevel="0" collapsed="false">
      <c r="B1012" s="2"/>
    </row>
    <row r="1013" customFormat="false" ht="14.25" hidden="false" customHeight="false" outlineLevel="0" collapsed="false">
      <c r="B1013" s="2"/>
    </row>
    <row r="1014" customFormat="false" ht="14.25" hidden="false" customHeight="false" outlineLevel="0" collapsed="false">
      <c r="B1014" s="2"/>
    </row>
    <row r="1015" customFormat="false" ht="14.25" hidden="false" customHeight="false" outlineLevel="0" collapsed="false">
      <c r="B1015" s="2"/>
    </row>
    <row r="1016" customFormat="false" ht="14.25" hidden="false" customHeight="false" outlineLevel="0" collapsed="false">
      <c r="B1016" s="2"/>
    </row>
    <row r="1017" customFormat="false" ht="14.25" hidden="false" customHeight="false" outlineLevel="0" collapsed="false">
      <c r="B1017" s="2"/>
    </row>
    <row r="1018" customFormat="false" ht="14.25" hidden="false" customHeight="false" outlineLevel="0" collapsed="false">
      <c r="B1018" s="2"/>
    </row>
    <row r="1019" customFormat="false" ht="14.25" hidden="false" customHeight="false" outlineLevel="0" collapsed="false">
      <c r="B1019" s="2"/>
    </row>
    <row r="1020" customFormat="false" ht="14.25" hidden="false" customHeight="false" outlineLevel="0" collapsed="false">
      <c r="B1020" s="2"/>
    </row>
    <row r="1021" customFormat="false" ht="14.25" hidden="false" customHeight="false" outlineLevel="0" collapsed="false">
      <c r="B1021" s="2"/>
    </row>
    <row r="1022" customFormat="false" ht="14.25" hidden="false" customHeight="false" outlineLevel="0" collapsed="false">
      <c r="B1022" s="2"/>
    </row>
    <row r="1023" customFormat="false" ht="14.25" hidden="false" customHeight="false" outlineLevel="0" collapsed="false">
      <c r="B1023" s="2"/>
    </row>
    <row r="1024" customFormat="false" ht="14.25" hidden="false" customHeight="false" outlineLevel="0" collapsed="false">
      <c r="B1024" s="2"/>
    </row>
    <row r="1025" customFormat="false" ht="14.25" hidden="false" customHeight="false" outlineLevel="0" collapsed="false">
      <c r="B1025" s="2"/>
    </row>
    <row r="1026" customFormat="false" ht="14.25" hidden="false" customHeight="false" outlineLevel="0" collapsed="false">
      <c r="B1026" s="2"/>
    </row>
    <row r="1027" customFormat="false" ht="14.25" hidden="false" customHeight="false" outlineLevel="0" collapsed="false">
      <c r="B1027" s="2"/>
    </row>
    <row r="1028" customFormat="false" ht="14.25" hidden="false" customHeight="false" outlineLevel="0" collapsed="false">
      <c r="B1028" s="2"/>
    </row>
    <row r="1029" customFormat="false" ht="14.25" hidden="false" customHeight="false" outlineLevel="0" collapsed="false">
      <c r="B1029" s="2"/>
    </row>
    <row r="1030" customFormat="false" ht="14.25" hidden="false" customHeight="false" outlineLevel="0" collapsed="false">
      <c r="B1030" s="2"/>
    </row>
    <row r="1031" customFormat="false" ht="14.25" hidden="false" customHeight="false" outlineLevel="0" collapsed="false">
      <c r="B1031" s="2"/>
    </row>
    <row r="1032" customFormat="false" ht="14.25" hidden="false" customHeight="false" outlineLevel="0" collapsed="false">
      <c r="B1032" s="2"/>
    </row>
    <row r="1033" customFormat="false" ht="14.25" hidden="false" customHeight="false" outlineLevel="0" collapsed="false">
      <c r="B1033" s="2"/>
    </row>
    <row r="1034" customFormat="false" ht="14.25" hidden="false" customHeight="false" outlineLevel="0" collapsed="false">
      <c r="B1034" s="2"/>
    </row>
    <row r="1035" customFormat="false" ht="14.25" hidden="false" customHeight="false" outlineLevel="0" collapsed="false">
      <c r="B1035" s="2"/>
    </row>
    <row r="1036" customFormat="false" ht="14.25" hidden="false" customHeight="false" outlineLevel="0" collapsed="false">
      <c r="B1036" s="2"/>
    </row>
    <row r="1037" customFormat="false" ht="14.25" hidden="false" customHeight="false" outlineLevel="0" collapsed="false">
      <c r="B1037" s="2"/>
    </row>
    <row r="1038" customFormat="false" ht="14.25" hidden="false" customHeight="false" outlineLevel="0" collapsed="false">
      <c r="B1038" s="2"/>
    </row>
    <row r="1039" customFormat="false" ht="14.25" hidden="false" customHeight="false" outlineLevel="0" collapsed="false">
      <c r="B1039" s="2"/>
    </row>
    <row r="1040" customFormat="false" ht="14.25" hidden="false" customHeight="false" outlineLevel="0" collapsed="false">
      <c r="B1040" s="2"/>
    </row>
    <row r="1041" customFormat="false" ht="14.25" hidden="false" customHeight="false" outlineLevel="0" collapsed="false">
      <c r="B1041" s="2"/>
    </row>
    <row r="1042" customFormat="false" ht="14.25" hidden="false" customHeight="false" outlineLevel="0" collapsed="false">
      <c r="B1042" s="2"/>
    </row>
    <row r="1043" customFormat="false" ht="14.25" hidden="false" customHeight="false" outlineLevel="0" collapsed="false">
      <c r="B1043" s="2"/>
    </row>
    <row r="1044" customFormat="false" ht="14.25" hidden="false" customHeight="false" outlineLevel="0" collapsed="false">
      <c r="B1044" s="2"/>
    </row>
    <row r="1045" customFormat="false" ht="14.25" hidden="false" customHeight="false" outlineLevel="0" collapsed="false">
      <c r="B1045" s="2"/>
    </row>
    <row r="1046" customFormat="false" ht="14.25" hidden="false" customHeight="false" outlineLevel="0" collapsed="false">
      <c r="B1046" s="2"/>
    </row>
    <row r="1047" customFormat="false" ht="14.25" hidden="false" customHeight="false" outlineLevel="0" collapsed="false">
      <c r="B1047" s="2"/>
    </row>
    <row r="1048" customFormat="false" ht="14.25" hidden="false" customHeight="false" outlineLevel="0" collapsed="false">
      <c r="B1048" s="2"/>
    </row>
    <row r="1049" customFormat="false" ht="14.25" hidden="false" customHeight="false" outlineLevel="0" collapsed="false">
      <c r="B1049" s="2"/>
    </row>
    <row r="1050" customFormat="false" ht="14.25" hidden="false" customHeight="false" outlineLevel="0" collapsed="false">
      <c r="B1050" s="2"/>
    </row>
    <row r="1051" customFormat="false" ht="14.25" hidden="false" customHeight="false" outlineLevel="0" collapsed="false">
      <c r="B1051" s="2"/>
    </row>
    <row r="1052" customFormat="false" ht="14.25" hidden="false" customHeight="false" outlineLevel="0" collapsed="false">
      <c r="B1052" s="2"/>
    </row>
    <row r="1053" customFormat="false" ht="14.25" hidden="false" customHeight="false" outlineLevel="0" collapsed="false">
      <c r="B1053" s="2"/>
    </row>
    <row r="1054" customFormat="false" ht="14.25" hidden="false" customHeight="false" outlineLevel="0" collapsed="false">
      <c r="B1054" s="2"/>
    </row>
    <row r="1055" customFormat="false" ht="14.25" hidden="false" customHeight="false" outlineLevel="0" collapsed="false">
      <c r="B1055" s="2"/>
    </row>
    <row r="1056" customFormat="false" ht="14.25" hidden="false" customHeight="false" outlineLevel="0" collapsed="false">
      <c r="B1056" s="2"/>
    </row>
    <row r="1057" customFormat="false" ht="14.25" hidden="false" customHeight="false" outlineLevel="0" collapsed="false">
      <c r="B1057" s="2"/>
    </row>
    <row r="1058" customFormat="false" ht="14.25" hidden="false" customHeight="false" outlineLevel="0" collapsed="false">
      <c r="B1058" s="2"/>
    </row>
    <row r="1059" customFormat="false" ht="14.25" hidden="false" customHeight="false" outlineLevel="0" collapsed="false">
      <c r="B1059" s="2"/>
    </row>
    <row r="1060" customFormat="false" ht="14.25" hidden="false" customHeight="false" outlineLevel="0" collapsed="false">
      <c r="B1060" s="2"/>
    </row>
    <row r="1061" customFormat="false" ht="14.25" hidden="false" customHeight="false" outlineLevel="0" collapsed="false">
      <c r="B1061" s="2"/>
    </row>
    <row r="1062" customFormat="false" ht="14.25" hidden="false" customHeight="false" outlineLevel="0" collapsed="false">
      <c r="B1062" s="2"/>
    </row>
    <row r="1063" customFormat="false" ht="14.25" hidden="false" customHeight="false" outlineLevel="0" collapsed="false">
      <c r="B1063" s="2"/>
    </row>
    <row r="1064" customFormat="false" ht="14.25" hidden="false" customHeight="false" outlineLevel="0" collapsed="false">
      <c r="B1064" s="2"/>
    </row>
    <row r="1065" customFormat="false" ht="14.25" hidden="false" customHeight="false" outlineLevel="0" collapsed="false">
      <c r="B1065" s="2"/>
    </row>
    <row r="1066" customFormat="false" ht="14.25" hidden="false" customHeight="false" outlineLevel="0" collapsed="false">
      <c r="B1066" s="2"/>
    </row>
    <row r="1067" customFormat="false" ht="14.25" hidden="false" customHeight="false" outlineLevel="0" collapsed="false">
      <c r="B1067" s="2"/>
    </row>
    <row r="1068" customFormat="false" ht="14.25" hidden="false" customHeight="false" outlineLevel="0" collapsed="false">
      <c r="B1068" s="2"/>
    </row>
    <row r="1069" customFormat="false" ht="14.25" hidden="false" customHeight="false" outlineLevel="0" collapsed="false">
      <c r="B1069" s="2"/>
    </row>
    <row r="1070" customFormat="false" ht="14.25" hidden="false" customHeight="false" outlineLevel="0" collapsed="false">
      <c r="B1070" s="2"/>
    </row>
    <row r="1071" customFormat="false" ht="14.25" hidden="false" customHeight="false" outlineLevel="0" collapsed="false">
      <c r="B1071" s="2"/>
    </row>
    <row r="1072" customFormat="false" ht="14.25" hidden="false" customHeight="false" outlineLevel="0" collapsed="false">
      <c r="B1072" s="2"/>
    </row>
    <row r="1073" customFormat="false" ht="14.25" hidden="false" customHeight="false" outlineLevel="0" collapsed="false">
      <c r="B1073" s="2"/>
    </row>
    <row r="1074" customFormat="false" ht="14.25" hidden="false" customHeight="false" outlineLevel="0" collapsed="false">
      <c r="B1074" s="2"/>
    </row>
    <row r="1075" customFormat="false" ht="14.25" hidden="false" customHeight="false" outlineLevel="0" collapsed="false">
      <c r="B1075" s="2"/>
    </row>
    <row r="1076" customFormat="false" ht="14.25" hidden="false" customHeight="false" outlineLevel="0" collapsed="false">
      <c r="B1076" s="2"/>
    </row>
    <row r="1077" customFormat="false" ht="14.25" hidden="false" customHeight="false" outlineLevel="0" collapsed="false">
      <c r="B1077" s="2"/>
    </row>
    <row r="1078" customFormat="false" ht="14.25" hidden="false" customHeight="false" outlineLevel="0" collapsed="false">
      <c r="B1078" s="2"/>
    </row>
    <row r="1079" customFormat="false" ht="14.25" hidden="false" customHeight="false" outlineLevel="0" collapsed="false">
      <c r="B1079" s="2"/>
    </row>
    <row r="1080" customFormat="false" ht="14.25" hidden="false" customHeight="false" outlineLevel="0" collapsed="false">
      <c r="B1080" s="2"/>
    </row>
    <row r="1081" customFormat="false" ht="14.25" hidden="false" customHeight="false" outlineLevel="0" collapsed="false">
      <c r="B1081" s="2"/>
    </row>
    <row r="1082" customFormat="false" ht="14.25" hidden="false" customHeight="false" outlineLevel="0" collapsed="false">
      <c r="B1082" s="2"/>
    </row>
    <row r="1083" customFormat="false" ht="14.25" hidden="false" customHeight="false" outlineLevel="0" collapsed="false">
      <c r="B1083" s="2"/>
    </row>
    <row r="1084" customFormat="false" ht="14.25" hidden="false" customHeight="false" outlineLevel="0" collapsed="false">
      <c r="B1084" s="2"/>
    </row>
    <row r="1085" customFormat="false" ht="14.25" hidden="false" customHeight="false" outlineLevel="0" collapsed="false">
      <c r="B1085" s="2"/>
    </row>
    <row r="1086" customFormat="false" ht="14.25" hidden="false" customHeight="false" outlineLevel="0" collapsed="false">
      <c r="B1086" s="2"/>
    </row>
    <row r="1087" customFormat="false" ht="14.25" hidden="false" customHeight="false" outlineLevel="0" collapsed="false">
      <c r="B1087" s="2"/>
    </row>
    <row r="1088" customFormat="false" ht="14.25" hidden="false" customHeight="false" outlineLevel="0" collapsed="false">
      <c r="B1088" s="2"/>
    </row>
    <row r="1089" customFormat="false" ht="14.25" hidden="false" customHeight="false" outlineLevel="0" collapsed="false">
      <c r="B1089" s="2"/>
    </row>
    <row r="1090" customFormat="false" ht="14.25" hidden="false" customHeight="false" outlineLevel="0" collapsed="false">
      <c r="B1090" s="2"/>
    </row>
    <row r="1091" customFormat="false" ht="14.25" hidden="false" customHeight="false" outlineLevel="0" collapsed="false">
      <c r="B1091" s="2"/>
    </row>
    <row r="1092" customFormat="false" ht="14.25" hidden="false" customHeight="false" outlineLevel="0" collapsed="false">
      <c r="B1092" s="2"/>
    </row>
    <row r="1093" customFormat="false" ht="14.25" hidden="false" customHeight="false" outlineLevel="0" collapsed="false">
      <c r="B1093" s="2"/>
    </row>
    <row r="1094" customFormat="false" ht="14.25" hidden="false" customHeight="false" outlineLevel="0" collapsed="false">
      <c r="B1094" s="2"/>
    </row>
    <row r="1095" customFormat="false" ht="14.25" hidden="false" customHeight="false" outlineLevel="0" collapsed="false">
      <c r="B1095" s="2"/>
    </row>
    <row r="1096" customFormat="false" ht="14.25" hidden="false" customHeight="false" outlineLevel="0" collapsed="false">
      <c r="B1096" s="2"/>
    </row>
    <row r="1097" customFormat="false" ht="14.25" hidden="false" customHeight="false" outlineLevel="0" collapsed="false">
      <c r="B1097" s="2"/>
    </row>
    <row r="1098" customFormat="false" ht="14.25" hidden="false" customHeight="false" outlineLevel="0" collapsed="false">
      <c r="B1098" s="2"/>
    </row>
    <row r="1099" customFormat="false" ht="14.25" hidden="false" customHeight="false" outlineLevel="0" collapsed="false">
      <c r="B1099" s="2"/>
    </row>
    <row r="1100" customFormat="false" ht="14.25" hidden="false" customHeight="false" outlineLevel="0" collapsed="false">
      <c r="B1100" s="2"/>
    </row>
    <row r="1101" customFormat="false" ht="14.25" hidden="false" customHeight="false" outlineLevel="0" collapsed="false">
      <c r="B1101" s="2"/>
    </row>
    <row r="1102" customFormat="false" ht="14.25" hidden="false" customHeight="false" outlineLevel="0" collapsed="false">
      <c r="B1102" s="2"/>
    </row>
    <row r="1103" customFormat="false" ht="14.25" hidden="false" customHeight="false" outlineLevel="0" collapsed="false">
      <c r="B1103" s="2"/>
    </row>
    <row r="1104" customFormat="false" ht="14.25" hidden="false" customHeight="false" outlineLevel="0" collapsed="false">
      <c r="B1104" s="2"/>
    </row>
    <row r="1105" customFormat="false" ht="14.25" hidden="false" customHeight="false" outlineLevel="0" collapsed="false">
      <c r="B1105" s="2"/>
    </row>
    <row r="1106" customFormat="false" ht="14.25" hidden="false" customHeight="false" outlineLevel="0" collapsed="false">
      <c r="B1106" s="2"/>
    </row>
    <row r="1107" customFormat="false" ht="14.25" hidden="false" customHeight="false" outlineLevel="0" collapsed="false">
      <c r="B1107" s="2"/>
    </row>
    <row r="1108" customFormat="false" ht="14.25" hidden="false" customHeight="false" outlineLevel="0" collapsed="false">
      <c r="B1108" s="2"/>
    </row>
    <row r="1109" customFormat="false" ht="14.25" hidden="false" customHeight="false" outlineLevel="0" collapsed="false">
      <c r="B1109" s="2"/>
    </row>
    <row r="1110" customFormat="false" ht="14.25" hidden="false" customHeight="false" outlineLevel="0" collapsed="false">
      <c r="B1110" s="2"/>
    </row>
    <row r="1111" customFormat="false" ht="14.25" hidden="false" customHeight="false" outlineLevel="0" collapsed="false">
      <c r="B1111" s="2"/>
    </row>
    <row r="1112" customFormat="false" ht="14.25" hidden="false" customHeight="false" outlineLevel="0" collapsed="false">
      <c r="B1112" s="2"/>
    </row>
    <row r="1113" customFormat="false" ht="14.25" hidden="false" customHeight="false" outlineLevel="0" collapsed="false">
      <c r="B1113" s="2"/>
    </row>
    <row r="1114" customFormat="false" ht="14.25" hidden="false" customHeight="false" outlineLevel="0" collapsed="false">
      <c r="B1114" s="2"/>
    </row>
    <row r="1115" customFormat="false" ht="14.25" hidden="false" customHeight="false" outlineLevel="0" collapsed="false">
      <c r="B1115" s="2"/>
    </row>
    <row r="1116" customFormat="false" ht="14.25" hidden="false" customHeight="false" outlineLevel="0" collapsed="false">
      <c r="B1116" s="2"/>
    </row>
    <row r="1117" customFormat="false" ht="14.25" hidden="false" customHeight="false" outlineLevel="0" collapsed="false">
      <c r="B1117" s="2"/>
    </row>
    <row r="1118" customFormat="false" ht="14.25" hidden="false" customHeight="false" outlineLevel="0" collapsed="false">
      <c r="B1118" s="2"/>
    </row>
    <row r="1119" customFormat="false" ht="14.25" hidden="false" customHeight="false" outlineLevel="0" collapsed="false">
      <c r="B1119" s="2"/>
    </row>
    <row r="1120" customFormat="false" ht="14.25" hidden="false" customHeight="false" outlineLevel="0" collapsed="false">
      <c r="B1120" s="2"/>
    </row>
    <row r="1121" customFormat="false" ht="14.25" hidden="false" customHeight="false" outlineLevel="0" collapsed="false">
      <c r="B1121" s="2"/>
    </row>
    <row r="1122" customFormat="false" ht="14.25" hidden="false" customHeight="false" outlineLevel="0" collapsed="false">
      <c r="B1122" s="2"/>
    </row>
    <row r="1123" customFormat="false" ht="14.25" hidden="false" customHeight="false" outlineLevel="0" collapsed="false">
      <c r="B1123" s="2"/>
    </row>
    <row r="1124" customFormat="false" ht="14.25" hidden="false" customHeight="false" outlineLevel="0" collapsed="false">
      <c r="B1124" s="2"/>
    </row>
    <row r="1125" customFormat="false" ht="14.25" hidden="false" customHeight="false" outlineLevel="0" collapsed="false">
      <c r="B1125" s="2"/>
    </row>
    <row r="1126" customFormat="false" ht="14.25" hidden="false" customHeight="false" outlineLevel="0" collapsed="false">
      <c r="B1126" s="2"/>
    </row>
    <row r="1127" customFormat="false" ht="14.25" hidden="false" customHeight="false" outlineLevel="0" collapsed="false">
      <c r="B1127" s="2"/>
    </row>
    <row r="1128" customFormat="false" ht="14.25" hidden="false" customHeight="false" outlineLevel="0" collapsed="false">
      <c r="B1128" s="2"/>
    </row>
    <row r="1129" customFormat="false" ht="14.25" hidden="false" customHeight="false" outlineLevel="0" collapsed="false">
      <c r="B1129" s="2"/>
    </row>
    <row r="1130" customFormat="false" ht="14.25" hidden="false" customHeight="false" outlineLevel="0" collapsed="false">
      <c r="B1130" s="2"/>
    </row>
    <row r="1131" customFormat="false" ht="14.25" hidden="false" customHeight="false" outlineLevel="0" collapsed="false">
      <c r="B1131" s="2"/>
    </row>
    <row r="1132" customFormat="false" ht="14.25" hidden="false" customHeight="false" outlineLevel="0" collapsed="false">
      <c r="B1132" s="2"/>
    </row>
    <row r="1133" customFormat="false" ht="14.25" hidden="false" customHeight="false" outlineLevel="0" collapsed="false">
      <c r="B1133" s="2"/>
    </row>
    <row r="1134" customFormat="false" ht="14.25" hidden="false" customHeight="false" outlineLevel="0" collapsed="false">
      <c r="B1134" s="2"/>
    </row>
    <row r="1135" customFormat="false" ht="14.25" hidden="false" customHeight="false" outlineLevel="0" collapsed="false">
      <c r="B1135" s="2"/>
    </row>
    <row r="1136" customFormat="false" ht="14.25" hidden="false" customHeight="false" outlineLevel="0" collapsed="false">
      <c r="B1136" s="2"/>
    </row>
    <row r="1137" customFormat="false" ht="14.25" hidden="false" customHeight="false" outlineLevel="0" collapsed="false">
      <c r="B1137" s="2"/>
    </row>
    <row r="1138" customFormat="false" ht="14.25" hidden="false" customHeight="false" outlineLevel="0" collapsed="false">
      <c r="B1138" s="2"/>
    </row>
    <row r="1139" customFormat="false" ht="14.25" hidden="false" customHeight="false" outlineLevel="0" collapsed="false">
      <c r="B1139" s="2"/>
    </row>
    <row r="1140" customFormat="false" ht="14.25" hidden="false" customHeight="false" outlineLevel="0" collapsed="false">
      <c r="B1140" s="2"/>
    </row>
    <row r="1141" customFormat="false" ht="14.25" hidden="false" customHeight="false" outlineLevel="0" collapsed="false">
      <c r="B1141" s="2"/>
    </row>
    <row r="1142" customFormat="false" ht="14.25" hidden="false" customHeight="false" outlineLevel="0" collapsed="false">
      <c r="B1142" s="2"/>
    </row>
    <row r="1143" customFormat="false" ht="14.25" hidden="false" customHeight="false" outlineLevel="0" collapsed="false">
      <c r="B1143" s="2"/>
    </row>
    <row r="1144" customFormat="false" ht="14.25" hidden="false" customHeight="false" outlineLevel="0" collapsed="false">
      <c r="B1144" s="2"/>
    </row>
    <row r="1145" customFormat="false" ht="14.25" hidden="false" customHeight="false" outlineLevel="0" collapsed="false">
      <c r="B1145" s="2"/>
    </row>
    <row r="1146" customFormat="false" ht="14.25" hidden="false" customHeight="false" outlineLevel="0" collapsed="false">
      <c r="B1146" s="2"/>
    </row>
    <row r="1147" customFormat="false" ht="14.25" hidden="false" customHeight="false" outlineLevel="0" collapsed="false">
      <c r="B1147" s="2"/>
    </row>
    <row r="1148" customFormat="false" ht="14.25" hidden="false" customHeight="false" outlineLevel="0" collapsed="false">
      <c r="B1148" s="2"/>
    </row>
    <row r="1149" customFormat="false" ht="14.25" hidden="false" customHeight="false" outlineLevel="0" collapsed="false">
      <c r="B1149" s="2"/>
    </row>
    <row r="1150" customFormat="false" ht="14.25" hidden="false" customHeight="false" outlineLevel="0" collapsed="false">
      <c r="B1150" s="2"/>
    </row>
    <row r="1151" customFormat="false" ht="14.25" hidden="false" customHeight="false" outlineLevel="0" collapsed="false">
      <c r="B1151" s="2"/>
    </row>
    <row r="1152" customFormat="false" ht="14.25" hidden="false" customHeight="false" outlineLevel="0" collapsed="false">
      <c r="B1152" s="2"/>
    </row>
    <row r="1153" customFormat="false" ht="14.25" hidden="false" customHeight="false" outlineLevel="0" collapsed="false">
      <c r="B1153" s="2"/>
    </row>
    <row r="1154" customFormat="false" ht="14.25" hidden="false" customHeight="false" outlineLevel="0" collapsed="false">
      <c r="B1154" s="2"/>
    </row>
    <row r="1155" customFormat="false" ht="14.25" hidden="false" customHeight="false" outlineLevel="0" collapsed="false">
      <c r="B1155" s="2"/>
    </row>
    <row r="1156" customFormat="false" ht="14.25" hidden="false" customHeight="false" outlineLevel="0" collapsed="false">
      <c r="B1156" s="2"/>
    </row>
    <row r="1157" customFormat="false" ht="14.25" hidden="false" customHeight="false" outlineLevel="0" collapsed="false">
      <c r="B1157" s="2"/>
    </row>
    <row r="1158" customFormat="false" ht="14.25" hidden="false" customHeight="false" outlineLevel="0" collapsed="false">
      <c r="B1158" s="2"/>
    </row>
    <row r="1159" customFormat="false" ht="14.25" hidden="false" customHeight="false" outlineLevel="0" collapsed="false">
      <c r="B1159" s="2"/>
    </row>
    <row r="1160" customFormat="false" ht="14.25" hidden="false" customHeight="false" outlineLevel="0" collapsed="false">
      <c r="B1160" s="2"/>
    </row>
    <row r="1161" customFormat="false" ht="14.25" hidden="false" customHeight="false" outlineLevel="0" collapsed="false">
      <c r="B1161" s="2"/>
    </row>
    <row r="1162" customFormat="false" ht="14.25" hidden="false" customHeight="false" outlineLevel="0" collapsed="false">
      <c r="B1162" s="2"/>
    </row>
    <row r="1163" customFormat="false" ht="14.25" hidden="false" customHeight="false" outlineLevel="0" collapsed="false">
      <c r="B1163" s="2"/>
    </row>
    <row r="1164" customFormat="false" ht="14.25" hidden="false" customHeight="false" outlineLevel="0" collapsed="false">
      <c r="B1164" s="2"/>
    </row>
    <row r="1165" customFormat="false" ht="14.25" hidden="false" customHeight="false" outlineLevel="0" collapsed="false">
      <c r="B1165" s="2"/>
    </row>
    <row r="1166" customFormat="false" ht="14.25" hidden="false" customHeight="false" outlineLevel="0" collapsed="false">
      <c r="B1166" s="2"/>
    </row>
    <row r="1167" customFormat="false" ht="14.25" hidden="false" customHeight="false" outlineLevel="0" collapsed="false">
      <c r="B1167" s="2"/>
    </row>
    <row r="1168" customFormat="false" ht="14.25" hidden="false" customHeight="false" outlineLevel="0" collapsed="false">
      <c r="B1168" s="2"/>
    </row>
    <row r="1169" customFormat="false" ht="14.25" hidden="false" customHeight="false" outlineLevel="0" collapsed="false">
      <c r="B1169" s="2"/>
    </row>
    <row r="1170" customFormat="false" ht="14.25" hidden="false" customHeight="false" outlineLevel="0" collapsed="false">
      <c r="B1170" s="2"/>
    </row>
    <row r="1171" customFormat="false" ht="14.25" hidden="false" customHeight="false" outlineLevel="0" collapsed="false">
      <c r="B1171" s="2"/>
    </row>
    <row r="1172" customFormat="false" ht="14.25" hidden="false" customHeight="false" outlineLevel="0" collapsed="false">
      <c r="B1172" s="2"/>
    </row>
    <row r="1173" customFormat="false" ht="14.25" hidden="false" customHeight="false" outlineLevel="0" collapsed="false">
      <c r="B1173" s="2"/>
    </row>
    <row r="1174" customFormat="false" ht="14.25" hidden="false" customHeight="false" outlineLevel="0" collapsed="false">
      <c r="B1174" s="2"/>
    </row>
    <row r="1175" customFormat="false" ht="14.25" hidden="false" customHeight="false" outlineLevel="0" collapsed="false">
      <c r="B1175" s="2"/>
    </row>
    <row r="1176" customFormat="false" ht="14.25" hidden="false" customHeight="false" outlineLevel="0" collapsed="false">
      <c r="B1176" s="2"/>
    </row>
    <row r="1177" customFormat="false" ht="14.25" hidden="false" customHeight="false" outlineLevel="0" collapsed="false">
      <c r="B1177" s="2"/>
    </row>
    <row r="1178" customFormat="false" ht="14.25" hidden="false" customHeight="false" outlineLevel="0" collapsed="false">
      <c r="B1178" s="2"/>
    </row>
    <row r="1179" customFormat="false" ht="14.25" hidden="false" customHeight="false" outlineLevel="0" collapsed="false">
      <c r="B1179" s="2"/>
    </row>
    <row r="1180" customFormat="false" ht="14.25" hidden="false" customHeight="false" outlineLevel="0" collapsed="false">
      <c r="B1180" s="2"/>
    </row>
    <row r="1181" customFormat="false" ht="14.25" hidden="false" customHeight="false" outlineLevel="0" collapsed="false">
      <c r="B1181" s="2"/>
    </row>
    <row r="1182" customFormat="false" ht="14.25" hidden="false" customHeight="false" outlineLevel="0" collapsed="false">
      <c r="B1182" s="2"/>
    </row>
    <row r="1183" customFormat="false" ht="14.25" hidden="false" customHeight="false" outlineLevel="0" collapsed="false">
      <c r="B1183" s="2"/>
    </row>
    <row r="1184" customFormat="false" ht="14.25" hidden="false" customHeight="false" outlineLevel="0" collapsed="false">
      <c r="B1184" s="2"/>
    </row>
    <row r="1185" customFormat="false" ht="14.25" hidden="false" customHeight="false" outlineLevel="0" collapsed="false">
      <c r="B1185" s="2"/>
    </row>
    <row r="1186" customFormat="false" ht="14.25" hidden="false" customHeight="false" outlineLevel="0" collapsed="false">
      <c r="B1186" s="2"/>
    </row>
    <row r="1187" customFormat="false" ht="14.25" hidden="false" customHeight="false" outlineLevel="0" collapsed="false">
      <c r="B1187" s="2"/>
    </row>
    <row r="1188" customFormat="false" ht="14.25" hidden="false" customHeight="false" outlineLevel="0" collapsed="false">
      <c r="B1188" s="2"/>
    </row>
    <row r="1189" customFormat="false" ht="14.25" hidden="false" customHeight="false" outlineLevel="0" collapsed="false">
      <c r="B1189" s="2"/>
    </row>
    <row r="1190" customFormat="false" ht="14.25" hidden="false" customHeight="false" outlineLevel="0" collapsed="false">
      <c r="B1190" s="2"/>
    </row>
    <row r="1191" customFormat="false" ht="14.25" hidden="false" customHeight="false" outlineLevel="0" collapsed="false">
      <c r="B1191" s="2"/>
    </row>
    <row r="1192" customFormat="false" ht="14.25" hidden="false" customHeight="false" outlineLevel="0" collapsed="false">
      <c r="B1192" s="2"/>
    </row>
    <row r="1193" customFormat="false" ht="14.25" hidden="false" customHeight="false" outlineLevel="0" collapsed="false">
      <c r="B1193" s="2"/>
    </row>
    <row r="1194" customFormat="false" ht="14.25" hidden="false" customHeight="false" outlineLevel="0" collapsed="false">
      <c r="B1194" s="2"/>
    </row>
    <row r="1195" customFormat="false" ht="14.25" hidden="false" customHeight="false" outlineLevel="0" collapsed="false">
      <c r="B1195" s="2"/>
    </row>
  </sheetData>
  <conditionalFormatting sqref="J2:J11 B2:B1048576">
    <cfRule type="cellIs" priority="2" operator="equal" aboveAverage="0" equalAverage="0" bottom="0" percent="0" rank="0" text="" dxfId="14">
      <formula>"Sylvaneth Army"</formula>
    </cfRule>
    <cfRule type="cellIs" priority="3" operator="equal" aboveAverage="0" equalAverage="0" bottom="0" percent="0" rank="0" text="" dxfId="15">
      <formula>"Tunguska Warband"</formula>
    </cfRule>
    <cfRule type="cellIs" priority="4" operator="equal" aboveAverage="0" equalAverage="0" bottom="0" percent="0" rank="0" text="" dxfId="16">
      <formula>"35mm Models"</formula>
    </cfRule>
    <cfRule type="cellIs" priority="5" operator="equal" aboveAverage="0" equalAverage="0" bottom="0" percent="0" rank="0" text="" dxfId="17">
      <formula>"High Elves Army"</formula>
    </cfRule>
    <cfRule type="cellIs" priority="6" operator="equal" aboveAverage="0" equalAverage="0" bottom="0" percent="0" rank="0" text="" dxfId="18">
      <formula>"Lumineth Army"</formula>
    </cfRule>
    <cfRule type="cellIs" priority="7" operator="equal" aboveAverage="0" equalAverage="0" bottom="0" percent="0" rank="0" text="" dxfId="19">
      <formula>"Harlequins Army"</formula>
    </cfRule>
    <cfRule type="cellIs" priority="8" operator="equal" aboveAverage="0" equalAverage="0" bottom="0" percent="0" rank="0" text="" dxfId="20">
      <formula>"Ulthwé Army"</formula>
    </cfRule>
    <cfRule type="cellIs" priority="9" operator="equal" aboveAverage="0" equalAverage="0" bottom="0" percent="0" rank="0" text="" dxfId="21">
      <formula>"Slaves Army"</formula>
    </cfRule>
    <cfRule type="cellIs" priority="10" operator="equal" aboveAverage="0" equalAverage="0" bottom="0" percent="0" rank="0" text="" dxfId="22">
      <formula>"Khorne Army"</formula>
    </cfRule>
    <cfRule type="cellIs" priority="11" operator="equal" aboveAverage="0" equalAverage="0" bottom="0" percent="0" rank="0" text="" dxfId="23">
      <formula>"Practice"</formula>
    </cfRule>
  </conditionalFormatting>
  <dataValidations count="1">
    <dataValidation allowBlank="true" errorStyle="stop" operator="between" showDropDown="false" showErrorMessage="true" showInputMessage="true" sqref="B2:B1195" type="list">
      <formula1>$J$2:$J$11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  <tablePart r:id="rId3"/>
    <tablePart r:id="rId4"/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48576"/>
  <sheetViews>
    <sheetView showFormulas="false" showGridLines="true" showRowColHeaders="true" showZeros="true" rightToLeft="false" tabSelected="true" showOutlineSymbols="true" defaultGridColor="true" view="normal" topLeftCell="A7" colorId="64" zoomScale="81" zoomScaleNormal="81" zoomScalePageLayoutView="100" workbookViewId="0">
      <selection pane="topLeft" activeCell="A5" activeCellId="0" sqref="A5"/>
    </sheetView>
  </sheetViews>
  <sheetFormatPr defaultColWidth="8.59765625" defaultRowHeight="14.25" zeroHeight="false" outlineLevelRow="0" outlineLevelCol="0"/>
  <cols>
    <col collapsed="false" customWidth="true" hidden="false" outlineLevel="0" max="1" min="1" style="7" width="19.87"/>
    <col collapsed="false" customWidth="true" hidden="false" outlineLevel="0" max="2" min="2" style="1" width="10.53"/>
    <col collapsed="false" customWidth="true" hidden="false" outlineLevel="0" max="4" min="3" style="1" width="12.79"/>
    <col collapsed="false" customWidth="true" hidden="false" outlineLevel="0" max="6" min="6" style="1" width="10.07"/>
    <col collapsed="false" customWidth="true" hidden="false" outlineLevel="0" max="7" min="7" style="1" width="8"/>
    <col collapsed="false" customWidth="true" hidden="false" outlineLevel="0" max="8" min="8" style="1" width="9.87"/>
    <col collapsed="false" customWidth="true" hidden="false" outlineLevel="0" max="9" min="9" style="1" width="11.67"/>
    <col collapsed="false" customWidth="true" hidden="false" outlineLevel="0" max="10" min="10" style="1" width="10.13"/>
    <col collapsed="false" customWidth="true" hidden="false" outlineLevel="0" max="11" min="11" style="1" width="10.79"/>
    <col collapsed="false" customWidth="true" hidden="false" outlineLevel="0" max="12" min="12" style="1" width="16.59"/>
    <col collapsed="false" customWidth="true" hidden="false" outlineLevel="0" max="13" min="13" style="1" width="10.4"/>
    <col collapsed="false" customWidth="true" hidden="false" outlineLevel="0" max="14" min="14" style="1" width="9.73"/>
    <col collapsed="false" customWidth="true" hidden="false" outlineLevel="0" max="16" min="15" style="1" width="11.15"/>
    <col collapsed="false" customWidth="true" hidden="false" outlineLevel="0" max="17" min="17" style="1" width="10.79"/>
  </cols>
  <sheetData>
    <row r="1" customFormat="false" ht="14.25" hidden="false" customHeight="false" outlineLevel="0" collapsed="false">
      <c r="A1" s="7" t="s">
        <v>191</v>
      </c>
      <c r="B1" s="2" t="s">
        <v>5</v>
      </c>
      <c r="C1" s="2" t="s">
        <v>192</v>
      </c>
      <c r="D1" s="2" t="s">
        <v>193</v>
      </c>
      <c r="E1" s="2" t="s">
        <v>194</v>
      </c>
      <c r="F1" s="2" t="s">
        <v>195</v>
      </c>
      <c r="G1" s="2" t="s">
        <v>196</v>
      </c>
      <c r="H1" s="2" t="s">
        <v>197</v>
      </c>
      <c r="I1" s="2" t="s">
        <v>198</v>
      </c>
      <c r="J1" s="2" t="s">
        <v>199</v>
      </c>
      <c r="K1" s="2" t="s">
        <v>179</v>
      </c>
      <c r="L1" s="2" t="s">
        <v>200</v>
      </c>
      <c r="M1" s="2" t="s">
        <v>201</v>
      </c>
      <c r="N1" s="2" t="s">
        <v>202</v>
      </c>
      <c r="O1" s="2" t="s">
        <v>31</v>
      </c>
      <c r="P1" s="2" t="s">
        <v>203</v>
      </c>
    </row>
    <row r="2" customFormat="false" ht="14.25" hidden="false" customHeight="false" outlineLevel="0" collapsed="false">
      <c r="A2" s="7" t="s">
        <v>204</v>
      </c>
      <c r="B2" s="2" t="s">
        <v>205</v>
      </c>
      <c r="C2" s="2" t="s">
        <v>206</v>
      </c>
      <c r="D2" s="2" t="n">
        <f aca="false">SUM(E2,G2,I2,K2,M2,O2)</f>
        <v>3</v>
      </c>
      <c r="E2" s="1" t="n">
        <v>1</v>
      </c>
      <c r="F2" s="2" t="s">
        <v>207</v>
      </c>
      <c r="G2" s="1" t="n">
        <v>1</v>
      </c>
      <c r="H2" s="2" t="s">
        <v>208</v>
      </c>
      <c r="K2" s="1" t="n">
        <v>1</v>
      </c>
      <c r="L2" s="2" t="s">
        <v>209</v>
      </c>
    </row>
    <row r="3" customFormat="false" ht="14.25" hidden="false" customHeight="false" outlineLevel="0" collapsed="false">
      <c r="A3" s="7" t="s">
        <v>210</v>
      </c>
      <c r="B3" s="2" t="s">
        <v>205</v>
      </c>
      <c r="C3" s="2" t="s">
        <v>211</v>
      </c>
      <c r="D3" s="2" t="n">
        <f aca="false">SUM(E3,G3,I3,K3,M3,O3)</f>
        <v>3</v>
      </c>
      <c r="K3" s="1" t="n">
        <v>1</v>
      </c>
      <c r="L3" s="2" t="s">
        <v>212</v>
      </c>
      <c r="M3" s="1" t="n">
        <v>1</v>
      </c>
      <c r="N3" s="2" t="s">
        <v>213</v>
      </c>
      <c r="O3" s="1" t="n">
        <v>1</v>
      </c>
      <c r="P3" s="2" t="s">
        <v>214</v>
      </c>
    </row>
    <row r="4" customFormat="false" ht="14.25" hidden="false" customHeight="false" outlineLevel="0" collapsed="false">
      <c r="A4" s="7" t="s">
        <v>215</v>
      </c>
      <c r="B4" s="2" t="s">
        <v>205</v>
      </c>
      <c r="C4" s="2" t="s">
        <v>211</v>
      </c>
      <c r="D4" s="2" t="n">
        <f aca="false">SUM(E4,G4,I4,K4,M4,O4)</f>
        <v>2</v>
      </c>
      <c r="G4" s="1" t="n">
        <v>1</v>
      </c>
      <c r="H4" s="2" t="s">
        <v>214</v>
      </c>
      <c r="K4" s="1" t="n">
        <v>1</v>
      </c>
      <c r="L4" s="2" t="s">
        <v>216</v>
      </c>
    </row>
    <row r="5" customFormat="false" ht="14.25" hidden="false" customHeight="false" outlineLevel="0" collapsed="false">
      <c r="A5" s="7" t="s">
        <v>217</v>
      </c>
      <c r="B5" s="2" t="s">
        <v>205</v>
      </c>
      <c r="C5" s="2" t="s">
        <v>211</v>
      </c>
      <c r="D5" s="2" t="n">
        <f aca="false">SUM(E5,G5,I5,K5,M5,O5)</f>
        <v>2</v>
      </c>
      <c r="K5" s="1" t="n">
        <v>1</v>
      </c>
      <c r="L5" s="2" t="s">
        <v>218</v>
      </c>
      <c r="O5" s="1" t="n">
        <v>1</v>
      </c>
      <c r="P5" s="2" t="s">
        <v>219</v>
      </c>
    </row>
    <row r="6" customFormat="false" ht="14.25" hidden="false" customHeight="false" outlineLevel="0" collapsed="false">
      <c r="A6" s="7" t="s">
        <v>220</v>
      </c>
      <c r="B6" s="2" t="s">
        <v>205</v>
      </c>
      <c r="C6" s="2" t="s">
        <v>211</v>
      </c>
      <c r="D6" s="2" t="n">
        <f aca="false">SUM(E6,G6,I6,K6,M6,O6)</f>
        <v>2</v>
      </c>
      <c r="E6" s="1" t="n">
        <v>1</v>
      </c>
      <c r="F6" s="1" t="s">
        <v>221</v>
      </c>
      <c r="G6" s="1" t="n">
        <v>1</v>
      </c>
      <c r="H6" s="2" t="s">
        <v>208</v>
      </c>
    </row>
    <row r="7" customFormat="false" ht="14.25" hidden="false" customHeight="false" outlineLevel="0" collapsed="false">
      <c r="A7" s="7" t="s">
        <v>222</v>
      </c>
      <c r="B7" s="2" t="s">
        <v>205</v>
      </c>
      <c r="C7" s="2" t="s">
        <v>211</v>
      </c>
      <c r="D7" s="2" t="n">
        <f aca="false">SUM(E7,G7,I7,K7,M7,O7)</f>
        <v>0</v>
      </c>
    </row>
    <row r="8" customFormat="false" ht="14.25" hidden="false" customHeight="false" outlineLevel="0" collapsed="false">
      <c r="A8" s="7" t="s">
        <v>223</v>
      </c>
      <c r="B8" s="2" t="s">
        <v>205</v>
      </c>
      <c r="C8" s="2" t="s">
        <v>211</v>
      </c>
      <c r="D8" s="2" t="n">
        <f aca="false">SUM(E8,G8,I8,K8,M8,O8)</f>
        <v>0</v>
      </c>
    </row>
    <row r="9" customFormat="false" ht="14.25" hidden="false" customHeight="false" outlineLevel="0" collapsed="false">
      <c r="A9" s="7" t="s">
        <v>224</v>
      </c>
      <c r="B9" s="2" t="s">
        <v>205</v>
      </c>
      <c r="C9" s="2" t="s">
        <v>206</v>
      </c>
      <c r="D9" s="2" t="n">
        <f aca="false">SUM(E9,G9,I9,K9,M9,O9)</f>
        <v>3</v>
      </c>
      <c r="E9" s="1" t="n">
        <v>1</v>
      </c>
      <c r="F9" s="2" t="s">
        <v>225</v>
      </c>
      <c r="G9" s="1" t="n">
        <v>1</v>
      </c>
      <c r="H9" s="2" t="s">
        <v>226</v>
      </c>
      <c r="K9" s="1" t="n">
        <v>1</v>
      </c>
      <c r="L9" s="2" t="s">
        <v>216</v>
      </c>
    </row>
    <row r="10" customFormat="false" ht="14.25" hidden="false" customHeight="false" outlineLevel="0" collapsed="false">
      <c r="A10" s="7" t="s">
        <v>227</v>
      </c>
      <c r="B10" s="2" t="s">
        <v>205</v>
      </c>
      <c r="C10" s="2" t="s">
        <v>211</v>
      </c>
      <c r="D10" s="2" t="n">
        <f aca="false">SUM(E10,G10,I10,K10,M10,O10)</f>
        <v>1</v>
      </c>
      <c r="G10" s="1" t="n">
        <v>1</v>
      </c>
      <c r="H10" s="2" t="s">
        <v>228</v>
      </c>
    </row>
    <row r="11" customFormat="false" ht="14.25" hidden="false" customHeight="false" outlineLevel="0" collapsed="false">
      <c r="A11" s="7" t="s">
        <v>229</v>
      </c>
      <c r="B11" s="2" t="s">
        <v>205</v>
      </c>
      <c r="C11" s="2" t="s">
        <v>211</v>
      </c>
      <c r="D11" s="2" t="n">
        <f aca="false">SUM(E11,G11,I11,K11,M11,O11)</f>
        <v>1</v>
      </c>
      <c r="K11" s="1" t="n">
        <v>1</v>
      </c>
      <c r="L11" s="2" t="s">
        <v>218</v>
      </c>
    </row>
    <row r="12" customFormat="false" ht="14.25" hidden="false" customHeight="false" outlineLevel="0" collapsed="false">
      <c r="A12" s="7" t="s">
        <v>230</v>
      </c>
      <c r="B12" s="2" t="s">
        <v>205</v>
      </c>
      <c r="C12" s="2" t="s">
        <v>211</v>
      </c>
      <c r="D12" s="2" t="n">
        <f aca="false">SUM(E12,G12,I12,K12,M12,O12)</f>
        <v>1</v>
      </c>
      <c r="O12" s="1" t="n">
        <v>1</v>
      </c>
      <c r="P12" s="2" t="s">
        <v>231</v>
      </c>
    </row>
    <row r="13" customFormat="false" ht="14.25" hidden="false" customHeight="false" outlineLevel="0" collapsed="false">
      <c r="A13" s="7" t="s">
        <v>232</v>
      </c>
      <c r="B13" s="2" t="s">
        <v>205</v>
      </c>
      <c r="C13" s="2" t="s">
        <v>211</v>
      </c>
      <c r="D13" s="2" t="n">
        <f aca="false">SUM(E13,G13,I13,K13,M13,O13)</f>
        <v>1</v>
      </c>
      <c r="E13" s="1" t="n">
        <v>1</v>
      </c>
      <c r="F13" s="1" t="s">
        <v>233</v>
      </c>
    </row>
    <row r="14" customFormat="false" ht="14.25" hidden="false" customHeight="false" outlineLevel="0" collapsed="false">
      <c r="A14" s="7" t="s">
        <v>234</v>
      </c>
      <c r="B14" s="2" t="s">
        <v>205</v>
      </c>
      <c r="C14" s="2" t="s">
        <v>211</v>
      </c>
      <c r="D14" s="2" t="n">
        <f aca="false">SUM(E14,G14,I14,K14,M14,O14)</f>
        <v>3</v>
      </c>
      <c r="E14" s="1" t="n">
        <v>1</v>
      </c>
      <c r="F14" s="2" t="s">
        <v>235</v>
      </c>
      <c r="I14" s="1" t="n">
        <v>1</v>
      </c>
      <c r="J14" s="2" t="s">
        <v>235</v>
      </c>
      <c r="K14" s="1" t="n">
        <v>1</v>
      </c>
      <c r="L14" s="2" t="s">
        <v>236</v>
      </c>
    </row>
    <row r="15" customFormat="false" ht="14.25" hidden="false" customHeight="false" outlineLevel="0" collapsed="false">
      <c r="A15" s="7" t="s">
        <v>237</v>
      </c>
      <c r="B15" s="2" t="s">
        <v>205</v>
      </c>
      <c r="C15" s="2" t="s">
        <v>211</v>
      </c>
      <c r="D15" s="2" t="n">
        <f aca="false">SUM(E15,G15,I15,K15,M15,O15)</f>
        <v>0</v>
      </c>
    </row>
    <row r="16" customFormat="false" ht="14.25" hidden="false" customHeight="false" outlineLevel="0" collapsed="false">
      <c r="A16" s="7" t="s">
        <v>238</v>
      </c>
      <c r="B16" s="2" t="s">
        <v>205</v>
      </c>
      <c r="C16" s="2" t="s">
        <v>211</v>
      </c>
      <c r="D16" s="2" t="n">
        <f aca="false">SUM(E16,G16,I16,K16,M16,O16)</f>
        <v>3</v>
      </c>
      <c r="E16" s="1" t="n">
        <v>1</v>
      </c>
      <c r="F16" s="1" t="s">
        <v>221</v>
      </c>
      <c r="G16" s="1" t="n">
        <v>1</v>
      </c>
      <c r="H16" s="2" t="s">
        <v>208</v>
      </c>
      <c r="O16" s="1" t="n">
        <v>1</v>
      </c>
      <c r="P16" s="2" t="s">
        <v>231</v>
      </c>
    </row>
    <row r="17" customFormat="false" ht="14.25" hidden="false" customHeight="false" outlineLevel="0" collapsed="false">
      <c r="A17" s="7" t="s">
        <v>50</v>
      </c>
      <c r="B17" s="2" t="s">
        <v>205</v>
      </c>
      <c r="C17" s="2" t="s">
        <v>211</v>
      </c>
      <c r="D17" s="2" t="n">
        <f aca="false">SUM(E17,G17,I17,K17,M17,O17)</f>
        <v>0</v>
      </c>
      <c r="E17" s="1" t="n">
        <v>0</v>
      </c>
      <c r="F17" s="2" t="s">
        <v>239</v>
      </c>
      <c r="G17" s="1" t="n">
        <v>0</v>
      </c>
      <c r="H17" s="2" t="s">
        <v>239</v>
      </c>
      <c r="I17" s="1" t="n">
        <v>0</v>
      </c>
      <c r="J17" s="2" t="s">
        <v>239</v>
      </c>
      <c r="K17" s="1" t="n">
        <v>0</v>
      </c>
      <c r="L17" s="2" t="s">
        <v>239</v>
      </c>
      <c r="M17" s="1" t="n">
        <v>0</v>
      </c>
      <c r="N17" s="2" t="s">
        <v>239</v>
      </c>
      <c r="O17" s="1" t="n">
        <v>0</v>
      </c>
      <c r="P17" s="2" t="s">
        <v>239</v>
      </c>
    </row>
    <row r="18" customFormat="false" ht="14.25" hidden="false" customHeight="false" outlineLevel="0" collapsed="false">
      <c r="A18" s="7" t="s">
        <v>47</v>
      </c>
      <c r="B18" s="2" t="s">
        <v>205</v>
      </c>
      <c r="C18" s="2" t="s">
        <v>211</v>
      </c>
      <c r="D18" s="2" t="n">
        <f aca="false">SUM(E18,G18,I18,K18,M18,O18)</f>
        <v>0</v>
      </c>
      <c r="E18" s="1" t="n">
        <v>0</v>
      </c>
      <c r="F18" s="2" t="s">
        <v>239</v>
      </c>
      <c r="G18" s="1" t="n">
        <v>0</v>
      </c>
      <c r="H18" s="2" t="s">
        <v>239</v>
      </c>
      <c r="I18" s="1" t="n">
        <v>0</v>
      </c>
      <c r="J18" s="2" t="s">
        <v>239</v>
      </c>
      <c r="K18" s="1" t="n">
        <v>0</v>
      </c>
      <c r="L18" s="2" t="s">
        <v>239</v>
      </c>
      <c r="M18" s="1" t="n">
        <v>0</v>
      </c>
      <c r="N18" s="2" t="s">
        <v>239</v>
      </c>
      <c r="O18" s="1" t="n">
        <v>0</v>
      </c>
      <c r="P18" s="2" t="s">
        <v>239</v>
      </c>
    </row>
    <row r="19" customFormat="false" ht="14.25" hidden="false" customHeight="false" outlineLevel="0" collapsed="false">
      <c r="A19" s="7" t="s">
        <v>240</v>
      </c>
      <c r="B19" s="2" t="s">
        <v>205</v>
      </c>
      <c r="C19" s="2" t="s">
        <v>211</v>
      </c>
      <c r="D19" s="2" t="n">
        <f aca="false">SUM(E19,G19,I19,K19,M19,O19)</f>
        <v>2</v>
      </c>
      <c r="K19" s="1" t="n">
        <v>1</v>
      </c>
      <c r="L19" s="2" t="s">
        <v>212</v>
      </c>
      <c r="M19" s="1" t="n">
        <v>1</v>
      </c>
      <c r="N19" s="2" t="s">
        <v>213</v>
      </c>
    </row>
    <row r="20" customFormat="false" ht="14.25" hidden="false" customHeight="false" outlineLevel="0" collapsed="false">
      <c r="A20" s="7" t="s">
        <v>241</v>
      </c>
      <c r="B20" s="2" t="s">
        <v>205</v>
      </c>
      <c r="C20" s="2" t="s">
        <v>211</v>
      </c>
      <c r="D20" s="2" t="n">
        <f aca="false">SUM(E20,G20,I20,K20,M20,O20)</f>
        <v>2</v>
      </c>
      <c r="M20" s="1" t="n">
        <v>1</v>
      </c>
      <c r="N20" s="2" t="s">
        <v>242</v>
      </c>
      <c r="O20" s="1" t="n">
        <v>1</v>
      </c>
      <c r="P20" s="2" t="s">
        <v>242</v>
      </c>
    </row>
    <row r="21" customFormat="false" ht="14.25" hidden="false" customHeight="false" outlineLevel="0" collapsed="false">
      <c r="A21" s="7" t="s">
        <v>243</v>
      </c>
      <c r="B21" s="2" t="s">
        <v>205</v>
      </c>
      <c r="C21" s="2" t="s">
        <v>211</v>
      </c>
      <c r="D21" s="2" t="n">
        <f aca="false">SUM(E21,G21,I21,K21,M21,O21)</f>
        <v>0</v>
      </c>
    </row>
    <row r="22" customFormat="false" ht="14.25" hidden="false" customHeight="false" outlineLevel="0" collapsed="false">
      <c r="A22" s="7" t="s">
        <v>244</v>
      </c>
      <c r="B22" s="2" t="s">
        <v>205</v>
      </c>
      <c r="C22" s="2" t="s">
        <v>211</v>
      </c>
      <c r="D22" s="2" t="n">
        <f aca="false">SUM(E22,G22,I22,K22,M22,O22)</f>
        <v>1</v>
      </c>
      <c r="K22" s="1" t="n">
        <v>1</v>
      </c>
      <c r="L22" s="2" t="s">
        <v>245</v>
      </c>
    </row>
    <row r="23" customFormat="false" ht="14.25" hidden="false" customHeight="false" outlineLevel="0" collapsed="false">
      <c r="A23" s="7" t="s">
        <v>246</v>
      </c>
      <c r="B23" s="2" t="s">
        <v>205</v>
      </c>
      <c r="C23" s="2" t="s">
        <v>211</v>
      </c>
      <c r="D23" s="2" t="n">
        <f aca="false">SUM(E23,G23,I23,K23,M23,O23)</f>
        <v>0</v>
      </c>
    </row>
    <row r="24" customFormat="false" ht="14.25" hidden="false" customHeight="false" outlineLevel="0" collapsed="false">
      <c r="A24" s="7" t="s">
        <v>247</v>
      </c>
      <c r="B24" s="2" t="s">
        <v>205</v>
      </c>
      <c r="C24" s="2" t="s">
        <v>211</v>
      </c>
      <c r="D24" s="2" t="n">
        <f aca="false">SUM(E24,G24,I24,K24,M24,O24)</f>
        <v>0</v>
      </c>
    </row>
    <row r="25" customFormat="false" ht="14.25" hidden="false" customHeight="false" outlineLevel="0" collapsed="false">
      <c r="A25" s="7" t="s">
        <v>248</v>
      </c>
      <c r="B25" s="2" t="s">
        <v>205</v>
      </c>
      <c r="C25" s="2" t="s">
        <v>211</v>
      </c>
      <c r="D25" s="2" t="n">
        <f aca="false">SUM(E25,G25,I25,K25,M25,O25)</f>
        <v>0</v>
      </c>
    </row>
    <row r="26" customFormat="false" ht="14.25" hidden="false" customHeight="false" outlineLevel="0" collapsed="false">
      <c r="A26" s="7" t="s">
        <v>249</v>
      </c>
      <c r="B26" s="2" t="s">
        <v>205</v>
      </c>
      <c r="C26" s="2" t="s">
        <v>211</v>
      </c>
      <c r="D26" s="2" t="n">
        <f aca="false">SUM(E26,G26,I26,K26,M26,O26)</f>
        <v>2</v>
      </c>
      <c r="M26" s="1" t="n">
        <v>1</v>
      </c>
      <c r="N26" s="2" t="s">
        <v>250</v>
      </c>
      <c r="O26" s="1" t="n">
        <v>1</v>
      </c>
      <c r="P26" s="2" t="s">
        <v>250</v>
      </c>
    </row>
    <row r="27" customFormat="false" ht="14.25" hidden="false" customHeight="false" outlineLevel="0" collapsed="false">
      <c r="A27" s="7" t="s">
        <v>251</v>
      </c>
      <c r="B27" s="2" t="s">
        <v>205</v>
      </c>
      <c r="C27" s="2" t="s">
        <v>211</v>
      </c>
      <c r="D27" s="2" t="n">
        <f aca="false">SUM(E27,G27,I27,K27,M27,O27)</f>
        <v>1</v>
      </c>
      <c r="O27" s="1" t="n">
        <v>1</v>
      </c>
      <c r="P27" s="2" t="s">
        <v>231</v>
      </c>
    </row>
    <row r="28" customFormat="false" ht="14.25" hidden="false" customHeight="false" outlineLevel="0" collapsed="false">
      <c r="A28" s="7" t="s">
        <v>252</v>
      </c>
      <c r="B28" s="2" t="s">
        <v>205</v>
      </c>
      <c r="C28" s="2" t="s">
        <v>211</v>
      </c>
      <c r="D28" s="2" t="n">
        <f aca="false">SUM(E28,G28,I28,K28,M28,O28)</f>
        <v>1</v>
      </c>
      <c r="M28" s="1" t="n">
        <v>1</v>
      </c>
      <c r="N28" s="2" t="s">
        <v>213</v>
      </c>
    </row>
    <row r="29" customFormat="false" ht="14.25" hidden="false" customHeight="false" outlineLevel="0" collapsed="false">
      <c r="A29" s="7" t="s">
        <v>253</v>
      </c>
      <c r="B29" s="2" t="s">
        <v>205</v>
      </c>
      <c r="C29" s="2" t="s">
        <v>211</v>
      </c>
      <c r="D29" s="2" t="n">
        <f aca="false">SUM(E29,G29,I29,K29,M29,O29)</f>
        <v>2</v>
      </c>
      <c r="E29" s="1" t="n">
        <v>1</v>
      </c>
      <c r="F29" s="2" t="s">
        <v>254</v>
      </c>
      <c r="K29" s="1" t="n">
        <v>1</v>
      </c>
      <c r="L29" s="2" t="s">
        <v>255</v>
      </c>
    </row>
    <row r="30" customFormat="false" ht="14.25" hidden="false" customHeight="false" outlineLevel="0" collapsed="false">
      <c r="A30" s="7" t="s">
        <v>53</v>
      </c>
      <c r="B30" s="2" t="s">
        <v>205</v>
      </c>
      <c r="C30" s="2" t="s">
        <v>211</v>
      </c>
      <c r="D30" s="2" t="n">
        <f aca="false">SUM(E30,G30,I30,K30,M30,O30)</f>
        <v>0</v>
      </c>
      <c r="E30" s="1" t="n">
        <v>0</v>
      </c>
      <c r="F30" s="2" t="s">
        <v>239</v>
      </c>
      <c r="G30" s="1" t="n">
        <v>0</v>
      </c>
      <c r="H30" s="2" t="s">
        <v>239</v>
      </c>
      <c r="I30" s="1" t="n">
        <v>0</v>
      </c>
      <c r="J30" s="2" t="s">
        <v>239</v>
      </c>
      <c r="K30" s="1" t="n">
        <v>0</v>
      </c>
      <c r="L30" s="2" t="s">
        <v>239</v>
      </c>
      <c r="M30" s="1" t="n">
        <v>0</v>
      </c>
      <c r="N30" s="2" t="s">
        <v>239</v>
      </c>
      <c r="O30" s="1" t="n">
        <v>0</v>
      </c>
      <c r="P30" s="2" t="s">
        <v>239</v>
      </c>
    </row>
    <row r="31" customFormat="false" ht="14.25" hidden="false" customHeight="false" outlineLevel="0" collapsed="false">
      <c r="A31" s="7" t="s">
        <v>256</v>
      </c>
      <c r="B31" s="2" t="s">
        <v>205</v>
      </c>
      <c r="C31" s="2" t="s">
        <v>211</v>
      </c>
      <c r="D31" s="2" t="n">
        <f aca="false">SUM(E31,G31,I31,K31,M31,O31)</f>
        <v>2</v>
      </c>
      <c r="G31" s="1" t="n">
        <v>1</v>
      </c>
      <c r="H31" s="2" t="s">
        <v>257</v>
      </c>
      <c r="K31" s="1" t="n">
        <v>1</v>
      </c>
      <c r="L31" s="2" t="s">
        <v>242</v>
      </c>
    </row>
    <row r="32" customFormat="false" ht="14.25" hidden="false" customHeight="false" outlineLevel="0" collapsed="false">
      <c r="A32" s="7" t="s">
        <v>258</v>
      </c>
      <c r="B32" s="2" t="s">
        <v>205</v>
      </c>
      <c r="C32" s="2" t="s">
        <v>211</v>
      </c>
      <c r="D32" s="2" t="n">
        <f aca="false">SUM(E32,G32,I32,K32,M32,O32)</f>
        <v>1</v>
      </c>
      <c r="K32" s="1" t="n">
        <v>1</v>
      </c>
      <c r="L32" s="2" t="s">
        <v>245</v>
      </c>
    </row>
    <row r="33" customFormat="false" ht="14.25" hidden="false" customHeight="false" outlineLevel="0" collapsed="false">
      <c r="A33" s="7" t="s">
        <v>259</v>
      </c>
      <c r="B33" s="2" t="s">
        <v>205</v>
      </c>
      <c r="C33" s="2" t="s">
        <v>211</v>
      </c>
      <c r="D33" s="2" t="n">
        <f aca="false">SUM(E33,G33,I33,K33,M33,O33)</f>
        <v>3</v>
      </c>
      <c r="E33" s="1" t="n">
        <v>1</v>
      </c>
      <c r="F33" s="2" t="s">
        <v>225</v>
      </c>
      <c r="K33" s="1" t="n">
        <v>1</v>
      </c>
      <c r="L33" s="2" t="s">
        <v>260</v>
      </c>
      <c r="M33" s="1" t="n">
        <v>1</v>
      </c>
      <c r="N33" s="2" t="s">
        <v>225</v>
      </c>
    </row>
    <row r="34" customFormat="false" ht="14.25" hidden="false" customHeight="false" outlineLevel="0" collapsed="false">
      <c r="A34" s="7" t="s">
        <v>261</v>
      </c>
      <c r="B34" s="2" t="s">
        <v>262</v>
      </c>
      <c r="C34" s="2" t="s">
        <v>263</v>
      </c>
      <c r="D34" s="2" t="n">
        <f aca="false">SUM(E34,G34,I34,K34,M34,O34)</f>
        <v>3</v>
      </c>
      <c r="E34" s="1" t="n">
        <v>1</v>
      </c>
      <c r="F34" s="2" t="s">
        <v>225</v>
      </c>
      <c r="G34" s="1" t="n">
        <v>1</v>
      </c>
      <c r="H34" s="2" t="s">
        <v>225</v>
      </c>
      <c r="K34" s="1" t="n">
        <v>1</v>
      </c>
      <c r="L34" s="2" t="s">
        <v>264</v>
      </c>
    </row>
    <row r="35" customFormat="false" ht="14.25" hidden="false" customHeight="false" outlineLevel="0" collapsed="false">
      <c r="A35" s="7" t="s">
        <v>265</v>
      </c>
      <c r="B35" s="1" t="s">
        <v>262</v>
      </c>
      <c r="C35" s="1" t="s">
        <v>263</v>
      </c>
      <c r="D35" s="2" t="n">
        <f aca="false">SUM(E35,G35,I35,K35,M35,O35)</f>
        <v>0</v>
      </c>
    </row>
    <row r="36" customFormat="false" ht="14.25" hidden="false" customHeight="false" outlineLevel="0" collapsed="false">
      <c r="A36" s="7" t="s">
        <v>266</v>
      </c>
      <c r="B36" s="1" t="s">
        <v>262</v>
      </c>
      <c r="C36" s="1" t="s">
        <v>263</v>
      </c>
      <c r="D36" s="2" t="n">
        <f aca="false">SUM(E36,G36,I36,K36,M36,O36)</f>
        <v>0</v>
      </c>
    </row>
    <row r="37" customFormat="false" ht="14.25" hidden="false" customHeight="false" outlineLevel="0" collapsed="false">
      <c r="A37" s="7" t="s">
        <v>267</v>
      </c>
      <c r="B37" s="2" t="s">
        <v>262</v>
      </c>
      <c r="C37" s="2" t="s">
        <v>263</v>
      </c>
      <c r="D37" s="2" t="n">
        <f aca="false">SUM(E37,G37,I37,K37,M37,O37)</f>
        <v>1</v>
      </c>
      <c r="K37" s="1" t="n">
        <v>1</v>
      </c>
      <c r="L37" s="2" t="s">
        <v>268</v>
      </c>
    </row>
    <row r="38" customFormat="false" ht="14.25" hidden="false" customHeight="false" outlineLevel="0" collapsed="false">
      <c r="A38" s="7" t="s">
        <v>269</v>
      </c>
      <c r="B38" s="1" t="s">
        <v>262</v>
      </c>
      <c r="C38" s="1" t="s">
        <v>263</v>
      </c>
      <c r="D38" s="2" t="n">
        <f aca="false">SUM(E38,G38,I38,K38,M38,O38)</f>
        <v>0</v>
      </c>
    </row>
    <row r="39" customFormat="false" ht="14.25" hidden="false" customHeight="false" outlineLevel="0" collapsed="false">
      <c r="A39" s="7" t="s">
        <v>270</v>
      </c>
      <c r="B39" s="1" t="s">
        <v>262</v>
      </c>
      <c r="C39" s="1" t="s">
        <v>263</v>
      </c>
      <c r="D39" s="2" t="n">
        <f aca="false">SUM(E39,G39,I39,K39,M39,O39)</f>
        <v>0</v>
      </c>
    </row>
    <row r="40" customFormat="false" ht="14.25" hidden="false" customHeight="false" outlineLevel="0" collapsed="false">
      <c r="A40" s="7" t="s">
        <v>271</v>
      </c>
      <c r="B40" s="1" t="s">
        <v>262</v>
      </c>
      <c r="C40" s="1" t="s">
        <v>263</v>
      </c>
      <c r="D40" s="2" t="n">
        <f aca="false">SUM(E40,G40,I40,K40,M40,O40)</f>
        <v>0</v>
      </c>
    </row>
    <row r="41" customFormat="false" ht="14.25" hidden="false" customHeight="false" outlineLevel="0" collapsed="false">
      <c r="A41" s="7" t="s">
        <v>272</v>
      </c>
      <c r="B41" s="1" t="s">
        <v>262</v>
      </c>
      <c r="C41" s="1" t="s">
        <v>263</v>
      </c>
      <c r="D41" s="2" t="n">
        <f aca="false">SUM(E41,G41,I41,K41,M41,O41)</f>
        <v>0</v>
      </c>
    </row>
    <row r="42" customFormat="false" ht="14.25" hidden="false" customHeight="false" outlineLevel="0" collapsed="false">
      <c r="A42" s="7" t="s">
        <v>273</v>
      </c>
      <c r="B42" s="2" t="s">
        <v>262</v>
      </c>
      <c r="C42" s="2" t="s">
        <v>263</v>
      </c>
      <c r="D42" s="2" t="n">
        <f aca="false">SUM(E42,G42,I42,K42,M42,O42)</f>
        <v>1</v>
      </c>
      <c r="K42" s="1" t="n">
        <v>1</v>
      </c>
      <c r="L42" s="2" t="s">
        <v>274</v>
      </c>
    </row>
    <row r="43" customFormat="false" ht="14.25" hidden="false" customHeight="false" outlineLevel="0" collapsed="false">
      <c r="A43" s="7" t="s">
        <v>275</v>
      </c>
      <c r="B43" s="1" t="s">
        <v>262</v>
      </c>
      <c r="C43" s="1" t="s">
        <v>263</v>
      </c>
      <c r="D43" s="2" t="n">
        <f aca="false">SUM(E43,G43,I43,K43,M43,O43)</f>
        <v>0</v>
      </c>
    </row>
    <row r="44" customFormat="false" ht="14.25" hidden="false" customHeight="false" outlineLevel="0" collapsed="false">
      <c r="A44" s="7" t="s">
        <v>276</v>
      </c>
      <c r="B44" s="2" t="s">
        <v>262</v>
      </c>
      <c r="C44" s="2" t="s">
        <v>263</v>
      </c>
      <c r="D44" s="2" t="n">
        <f aca="false">SUM(E44,G44,I44,K44,M44,O44)</f>
        <v>0</v>
      </c>
      <c r="E44" s="1" t="n">
        <v>0</v>
      </c>
      <c r="F44" s="2" t="s">
        <v>239</v>
      </c>
      <c r="G44" s="1" t="n">
        <v>0</v>
      </c>
      <c r="H44" s="2" t="s">
        <v>239</v>
      </c>
      <c r="I44" s="1" t="n">
        <v>0</v>
      </c>
      <c r="J44" s="2" t="s">
        <v>239</v>
      </c>
      <c r="K44" s="1" t="n">
        <v>0</v>
      </c>
      <c r="L44" s="2" t="s">
        <v>239</v>
      </c>
      <c r="M44" s="1" t="n">
        <v>0</v>
      </c>
      <c r="N44" s="2" t="s">
        <v>239</v>
      </c>
      <c r="O44" s="1" t="n">
        <v>0</v>
      </c>
      <c r="P44" s="2" t="s">
        <v>239</v>
      </c>
    </row>
    <row r="45" customFormat="false" ht="14.25" hidden="false" customHeight="false" outlineLevel="0" collapsed="false">
      <c r="A45" s="7" t="s">
        <v>277</v>
      </c>
      <c r="B45" s="1" t="s">
        <v>262</v>
      </c>
      <c r="C45" s="1" t="s">
        <v>263</v>
      </c>
      <c r="D45" s="2" t="n">
        <f aca="false">SUM(E45,G45,I45,K45,M45,O45)</f>
        <v>0</v>
      </c>
    </row>
    <row r="46" customFormat="false" ht="14.25" hidden="false" customHeight="false" outlineLevel="0" collapsed="false">
      <c r="A46" s="7" t="s">
        <v>278</v>
      </c>
      <c r="B46" s="2" t="s">
        <v>262</v>
      </c>
      <c r="C46" s="2" t="s">
        <v>263</v>
      </c>
      <c r="D46" s="2" t="n">
        <f aca="false">SUM(E46,G46,I46,K46,M46,O46)</f>
        <v>2</v>
      </c>
      <c r="E46" s="1" t="n">
        <v>1</v>
      </c>
      <c r="F46" s="1" t="s">
        <v>235</v>
      </c>
      <c r="K46" s="1" t="n">
        <v>1</v>
      </c>
      <c r="L46" s="2" t="s">
        <v>279</v>
      </c>
    </row>
    <row r="47" customFormat="false" ht="14.25" hidden="false" customHeight="false" outlineLevel="0" collapsed="false">
      <c r="A47" s="7" t="s">
        <v>280</v>
      </c>
      <c r="B47" s="1" t="s">
        <v>262</v>
      </c>
      <c r="C47" s="1" t="s">
        <v>263</v>
      </c>
      <c r="D47" s="2" t="n">
        <f aca="false">SUM(E47,G47,I47,K47,M47,O47)</f>
        <v>0</v>
      </c>
    </row>
    <row r="48" customFormat="false" ht="14.25" hidden="false" customHeight="false" outlineLevel="0" collapsed="false">
      <c r="A48" s="7" t="s">
        <v>281</v>
      </c>
      <c r="B48" s="1" t="s">
        <v>262</v>
      </c>
      <c r="C48" s="1" t="s">
        <v>263</v>
      </c>
      <c r="D48" s="2" t="n">
        <f aca="false">SUM(E48,G48,I48,K48,M48,O48)</f>
        <v>0</v>
      </c>
    </row>
    <row r="49" customFormat="false" ht="14.25" hidden="false" customHeight="false" outlineLevel="0" collapsed="false">
      <c r="A49" s="7" t="s">
        <v>282</v>
      </c>
      <c r="B49" s="2" t="s">
        <v>262</v>
      </c>
      <c r="C49" s="2" t="s">
        <v>263</v>
      </c>
      <c r="D49" s="2" t="n">
        <f aca="false">SUM(E49,G49,I49,K49,M49,O49)</f>
        <v>1</v>
      </c>
      <c r="E49" s="1" t="n">
        <v>1</v>
      </c>
      <c r="F49" s="1" t="s">
        <v>235</v>
      </c>
      <c r="L49" s="2"/>
    </row>
    <row r="50" customFormat="false" ht="14.25" hidden="false" customHeight="false" outlineLevel="0" collapsed="false">
      <c r="A50" s="7" t="s">
        <v>283</v>
      </c>
      <c r="B50" s="1" t="s">
        <v>262</v>
      </c>
      <c r="C50" s="1" t="s">
        <v>263</v>
      </c>
      <c r="D50" s="2" t="n">
        <f aca="false">SUM(E50,G50,I50,K50,M50,O50)</f>
        <v>0</v>
      </c>
    </row>
    <row r="51" customFormat="false" ht="14.25" hidden="false" customHeight="false" outlineLevel="0" collapsed="false">
      <c r="A51" s="7" t="s">
        <v>284</v>
      </c>
      <c r="B51" s="1" t="s">
        <v>262</v>
      </c>
      <c r="C51" s="1" t="s">
        <v>263</v>
      </c>
      <c r="D51" s="2" t="n">
        <f aca="false">SUM(E51,G51,I51,K51,M51,O51)</f>
        <v>0</v>
      </c>
    </row>
    <row r="52" customFormat="false" ht="14.25" hidden="false" customHeight="false" outlineLevel="0" collapsed="false">
      <c r="A52" s="7" t="s">
        <v>285</v>
      </c>
      <c r="B52" s="1" t="s">
        <v>262</v>
      </c>
      <c r="C52" s="1" t="s">
        <v>263</v>
      </c>
      <c r="D52" s="2" t="n">
        <f aca="false">SUM(E52,G52,I52,K52,M52,O52)</f>
        <v>0</v>
      </c>
    </row>
    <row r="53" customFormat="false" ht="14.25" hidden="false" customHeight="false" outlineLevel="0" collapsed="false">
      <c r="A53" s="7" t="s">
        <v>286</v>
      </c>
      <c r="B53" s="1" t="s">
        <v>262</v>
      </c>
      <c r="C53" s="1" t="s">
        <v>263</v>
      </c>
      <c r="D53" s="2" t="n">
        <f aca="false">SUM(E53,G53,I53,K53,M53,O53)</f>
        <v>0</v>
      </c>
    </row>
    <row r="54" customFormat="false" ht="14.25" hidden="false" customHeight="false" outlineLevel="0" collapsed="false">
      <c r="A54" s="7" t="s">
        <v>287</v>
      </c>
      <c r="B54" s="1" t="s">
        <v>262</v>
      </c>
      <c r="C54" s="1" t="s">
        <v>263</v>
      </c>
      <c r="D54" s="2" t="n">
        <f aca="false">SUM(E54,G54,I54,K54,M54,O54)</f>
        <v>0</v>
      </c>
    </row>
    <row r="55" customFormat="false" ht="14.25" hidden="false" customHeight="false" outlineLevel="0" collapsed="false">
      <c r="A55" s="7" t="s">
        <v>288</v>
      </c>
      <c r="B55" s="2" t="s">
        <v>262</v>
      </c>
      <c r="C55" s="2" t="s">
        <v>263</v>
      </c>
      <c r="D55" s="2" t="n">
        <f aca="false">SUM(E55,G55,I55,K55,M55,O55)</f>
        <v>1</v>
      </c>
      <c r="K55" s="1" t="n">
        <v>1</v>
      </c>
      <c r="L55" s="2" t="s">
        <v>268</v>
      </c>
    </row>
    <row r="56" customFormat="false" ht="14.25" hidden="false" customHeight="false" outlineLevel="0" collapsed="false">
      <c r="A56" s="7" t="s">
        <v>289</v>
      </c>
      <c r="B56" s="1" t="s">
        <v>262</v>
      </c>
      <c r="C56" s="1" t="s">
        <v>263</v>
      </c>
      <c r="D56" s="2" t="n">
        <f aca="false">SUM(E56,G56,I56,K56,M56,O56)</f>
        <v>0</v>
      </c>
    </row>
    <row r="57" customFormat="false" ht="14.25" hidden="false" customHeight="false" outlineLevel="0" collapsed="false">
      <c r="A57" s="7" t="s">
        <v>290</v>
      </c>
      <c r="B57" s="1" t="s">
        <v>262</v>
      </c>
      <c r="C57" s="1" t="s">
        <v>263</v>
      </c>
      <c r="D57" s="2" t="n">
        <f aca="false">SUM(E57,G57,I57,K57,M57,O57)</f>
        <v>0</v>
      </c>
    </row>
    <row r="58" customFormat="false" ht="14.25" hidden="false" customHeight="false" outlineLevel="0" collapsed="false">
      <c r="A58" s="7" t="s">
        <v>291</v>
      </c>
      <c r="B58" s="2" t="s">
        <v>292</v>
      </c>
      <c r="C58" s="2" t="s">
        <v>293</v>
      </c>
      <c r="D58" s="2" t="n">
        <f aca="false">SUM(E58,G58,I58,K58,M58,O58)</f>
        <v>0</v>
      </c>
    </row>
    <row r="59" customFormat="false" ht="14.25" hidden="false" customHeight="false" outlineLevel="0" collapsed="false">
      <c r="A59" s="7" t="s">
        <v>294</v>
      </c>
      <c r="B59" s="2" t="s">
        <v>292</v>
      </c>
      <c r="C59" s="2" t="s">
        <v>295</v>
      </c>
      <c r="D59" s="2" t="n">
        <f aca="false">SUM(E59,G59,I59,K59,M59,O59)</f>
        <v>0</v>
      </c>
    </row>
    <row r="60" customFormat="false" ht="14.25" hidden="false" customHeight="false" outlineLevel="0" collapsed="false">
      <c r="A60" s="7" t="s">
        <v>296</v>
      </c>
      <c r="B60" s="2" t="s">
        <v>292</v>
      </c>
      <c r="C60" s="2" t="s">
        <v>297</v>
      </c>
      <c r="D60" s="2" t="n">
        <f aca="false">SUM(E60,G60,I60,K60,M60,O60)</f>
        <v>2</v>
      </c>
      <c r="G60" s="1" t="n">
        <v>1</v>
      </c>
      <c r="H60" s="2" t="s">
        <v>214</v>
      </c>
      <c r="O60" s="1" t="n">
        <v>1</v>
      </c>
      <c r="P60" s="2" t="s">
        <v>214</v>
      </c>
    </row>
    <row r="61" customFormat="false" ht="14.25" hidden="false" customHeight="false" outlineLevel="0" collapsed="false">
      <c r="A61" s="7" t="s">
        <v>298</v>
      </c>
      <c r="B61" s="2" t="s">
        <v>292</v>
      </c>
      <c r="C61" s="2" t="s">
        <v>299</v>
      </c>
      <c r="D61" s="2" t="n">
        <f aca="false">SUM(E61,G61,I61,K61,M61,O61)</f>
        <v>0</v>
      </c>
    </row>
    <row r="62" customFormat="false" ht="14.25" hidden="false" customHeight="false" outlineLevel="0" collapsed="false">
      <c r="A62" s="7" t="s">
        <v>300</v>
      </c>
      <c r="B62" s="2" t="s">
        <v>292</v>
      </c>
      <c r="C62" s="2" t="s">
        <v>297</v>
      </c>
      <c r="D62" s="2" t="n">
        <f aca="false">SUM(E62,G62,I62,K62,M62,O62)</f>
        <v>1</v>
      </c>
      <c r="G62" s="1" t="n">
        <v>1</v>
      </c>
      <c r="H62" s="2" t="s">
        <v>214</v>
      </c>
    </row>
    <row r="63" customFormat="false" ht="14.25" hidden="false" customHeight="false" outlineLevel="0" collapsed="false">
      <c r="A63" s="7" t="s">
        <v>301</v>
      </c>
      <c r="B63" s="2" t="s">
        <v>292</v>
      </c>
      <c r="C63" s="2" t="s">
        <v>297</v>
      </c>
      <c r="D63" s="2" t="n">
        <f aca="false">SUM(E63,G63,I63,K63,M63,O63)</f>
        <v>0</v>
      </c>
    </row>
    <row r="64" customFormat="false" ht="14.25" hidden="false" customHeight="false" outlineLevel="0" collapsed="false">
      <c r="A64" s="7" t="s">
        <v>302</v>
      </c>
      <c r="B64" s="2" t="s">
        <v>292</v>
      </c>
      <c r="C64" s="2" t="s">
        <v>293</v>
      </c>
      <c r="D64" s="2" t="n">
        <f aca="false">SUM(E64,G64,I64,K64,M64,O64)</f>
        <v>0</v>
      </c>
    </row>
    <row r="65" customFormat="false" ht="14.25" hidden="false" customHeight="false" outlineLevel="0" collapsed="false">
      <c r="A65" s="7" t="s">
        <v>303</v>
      </c>
      <c r="B65" s="2" t="s">
        <v>292</v>
      </c>
      <c r="C65" s="2" t="s">
        <v>295</v>
      </c>
      <c r="D65" s="2" t="n">
        <f aca="false">SUM(E65,G65,I65,K65,M65,O65)</f>
        <v>0</v>
      </c>
    </row>
    <row r="66" customFormat="false" ht="14.25" hidden="false" customHeight="false" outlineLevel="0" collapsed="false">
      <c r="A66" s="7" t="s">
        <v>304</v>
      </c>
      <c r="B66" s="2" t="s">
        <v>292</v>
      </c>
      <c r="C66" s="2" t="s">
        <v>295</v>
      </c>
      <c r="D66" s="2" t="n">
        <f aca="false">SUM(E66,G66,I66,K66,M66,O66)</f>
        <v>0</v>
      </c>
    </row>
    <row r="67" customFormat="false" ht="14.25" hidden="false" customHeight="false" outlineLevel="0" collapsed="false">
      <c r="A67" s="7" t="s">
        <v>305</v>
      </c>
      <c r="B67" s="2" t="s">
        <v>292</v>
      </c>
      <c r="C67" s="2" t="s">
        <v>293</v>
      </c>
      <c r="D67" s="2" t="n">
        <f aca="false">SUM(E67,G67,I67,K67,M67,O67)</f>
        <v>1</v>
      </c>
      <c r="H67" s="1" t="n">
        <v>0</v>
      </c>
      <c r="O67" s="1" t="n">
        <v>1</v>
      </c>
      <c r="P67" s="2" t="s">
        <v>306</v>
      </c>
    </row>
    <row r="68" customFormat="false" ht="14.25" hidden="false" customHeight="false" outlineLevel="0" collapsed="false">
      <c r="A68" s="7" t="s">
        <v>307</v>
      </c>
      <c r="B68" s="2" t="s">
        <v>292</v>
      </c>
      <c r="C68" s="2" t="s">
        <v>297</v>
      </c>
      <c r="D68" s="2" t="n">
        <f aca="false">SUM(E68,G68,I68,K68,M68,O68)</f>
        <v>2</v>
      </c>
      <c r="E68" s="1" t="n">
        <v>1</v>
      </c>
      <c r="F68" s="2" t="s">
        <v>308</v>
      </c>
      <c r="M68" s="1" t="n">
        <v>1</v>
      </c>
    </row>
    <row r="69" customFormat="false" ht="14.25" hidden="false" customHeight="false" outlineLevel="0" collapsed="false">
      <c r="A69" s="7" t="s">
        <v>309</v>
      </c>
      <c r="B69" s="2" t="s">
        <v>292</v>
      </c>
      <c r="C69" s="2" t="s">
        <v>293</v>
      </c>
      <c r="D69" s="2" t="n">
        <f aca="false">SUM(E69,G69,I69,K69,M69,O69)</f>
        <v>1</v>
      </c>
      <c r="M69" s="1" t="n">
        <v>1</v>
      </c>
      <c r="N69" s="2" t="s">
        <v>242</v>
      </c>
    </row>
    <row r="70" customFormat="false" ht="14.25" hidden="false" customHeight="false" outlineLevel="0" collapsed="false">
      <c r="A70" s="7" t="s">
        <v>310</v>
      </c>
      <c r="B70" s="2" t="s">
        <v>292</v>
      </c>
      <c r="C70" s="2" t="s">
        <v>299</v>
      </c>
      <c r="D70" s="2" t="n">
        <f aca="false">SUM(E70,G70,I70,K70,M70,O70)</f>
        <v>1</v>
      </c>
      <c r="O70" s="1" t="n">
        <v>1</v>
      </c>
      <c r="P70" s="2" t="s">
        <v>225</v>
      </c>
    </row>
    <row r="71" customFormat="false" ht="14.25" hidden="false" customHeight="false" outlineLevel="0" collapsed="false">
      <c r="A71" s="7" t="s">
        <v>311</v>
      </c>
      <c r="B71" s="2" t="s">
        <v>292</v>
      </c>
      <c r="C71" s="2" t="s">
        <v>293</v>
      </c>
      <c r="D71" s="2" t="n">
        <f aca="false">SUM(E71,G71,I71,K71,M71,O71)</f>
        <v>0</v>
      </c>
    </row>
    <row r="72" customFormat="false" ht="14.25" hidden="false" customHeight="false" outlineLevel="0" collapsed="false">
      <c r="A72" s="7" t="s">
        <v>312</v>
      </c>
      <c r="B72" s="2" t="s">
        <v>292</v>
      </c>
      <c r="C72" s="2" t="s">
        <v>293</v>
      </c>
      <c r="D72" s="2" t="n">
        <f aca="false">SUM(E72,G72,I72,K72,M72,O72)</f>
        <v>0</v>
      </c>
    </row>
    <row r="73" customFormat="false" ht="14.25" hidden="false" customHeight="false" outlineLevel="0" collapsed="false">
      <c r="A73" s="7" t="s">
        <v>313</v>
      </c>
      <c r="B73" s="2" t="s">
        <v>292</v>
      </c>
      <c r="C73" s="2" t="s">
        <v>297</v>
      </c>
      <c r="D73" s="2" t="n">
        <f aca="false">SUM(E73,G73,I73,K73,M73,O73)</f>
        <v>2</v>
      </c>
      <c r="K73" s="1" t="n">
        <v>1</v>
      </c>
      <c r="L73" s="2" t="s">
        <v>212</v>
      </c>
      <c r="M73" s="1" t="n">
        <v>1</v>
      </c>
    </row>
    <row r="74" customFormat="false" ht="14.25" hidden="false" customHeight="false" outlineLevel="0" collapsed="false">
      <c r="A74" s="7" t="s">
        <v>314</v>
      </c>
      <c r="B74" s="2" t="s">
        <v>292</v>
      </c>
      <c r="C74" s="2" t="s">
        <v>297</v>
      </c>
      <c r="D74" s="2" t="n">
        <f aca="false">SUM(E74,G74,I74,K74,M74,O74)</f>
        <v>2</v>
      </c>
      <c r="K74" s="1" t="n">
        <v>1</v>
      </c>
      <c r="L74" s="2" t="s">
        <v>315</v>
      </c>
      <c r="O74" s="1" t="n">
        <v>1</v>
      </c>
      <c r="P74" s="2" t="s">
        <v>316</v>
      </c>
    </row>
    <row r="75" customFormat="false" ht="14.25" hidden="false" customHeight="false" outlineLevel="0" collapsed="false">
      <c r="A75" s="7" t="s">
        <v>317</v>
      </c>
      <c r="B75" s="2" t="s">
        <v>292</v>
      </c>
      <c r="C75" s="2" t="s">
        <v>293</v>
      </c>
      <c r="D75" s="2" t="n">
        <f aca="false">SUM(E75,G75,I75,K75,M75,O75)</f>
        <v>2</v>
      </c>
      <c r="E75" s="1" t="n">
        <v>1</v>
      </c>
      <c r="F75" s="2" t="s">
        <v>254</v>
      </c>
      <c r="K75" s="1" t="n">
        <v>1</v>
      </c>
      <c r="L75" s="2" t="s">
        <v>318</v>
      </c>
    </row>
    <row r="76" customFormat="false" ht="14.25" hidden="false" customHeight="false" outlineLevel="0" collapsed="false">
      <c r="A76" s="7" t="s">
        <v>319</v>
      </c>
      <c r="B76" s="2" t="s">
        <v>292</v>
      </c>
      <c r="C76" s="2" t="s">
        <v>295</v>
      </c>
      <c r="D76" s="2" t="n">
        <f aca="false">SUM(E76,G76,I76,K76,M76,O76)</f>
        <v>0</v>
      </c>
    </row>
    <row r="77" customFormat="false" ht="14.25" hidden="false" customHeight="false" outlineLevel="0" collapsed="false">
      <c r="A77" s="7" t="s">
        <v>320</v>
      </c>
      <c r="B77" s="2" t="s">
        <v>292</v>
      </c>
      <c r="C77" s="2" t="s">
        <v>295</v>
      </c>
      <c r="D77" s="2" t="n">
        <f aca="false">SUM(E77,G77,I77,K77,M77,O77)</f>
        <v>0</v>
      </c>
    </row>
    <row r="78" customFormat="false" ht="14.25" hidden="false" customHeight="false" outlineLevel="0" collapsed="false">
      <c r="A78" s="7" t="s">
        <v>321</v>
      </c>
      <c r="B78" s="2" t="s">
        <v>292</v>
      </c>
      <c r="C78" s="2" t="s">
        <v>295</v>
      </c>
      <c r="D78" s="2" t="n">
        <f aca="false">SUM(E78,G78,I78,K78,M78,O78)</f>
        <v>1</v>
      </c>
      <c r="K78" s="1" t="n">
        <v>1</v>
      </c>
      <c r="L78" s="2" t="s">
        <v>245</v>
      </c>
    </row>
    <row r="79" customFormat="false" ht="14.25" hidden="false" customHeight="false" outlineLevel="0" collapsed="false">
      <c r="A79" s="7" t="s">
        <v>322</v>
      </c>
      <c r="B79" s="2" t="s">
        <v>292</v>
      </c>
      <c r="C79" s="2" t="s">
        <v>299</v>
      </c>
      <c r="D79" s="2" t="n">
        <f aca="false">SUM(E79,G79,I79,K79,M79,O79)</f>
        <v>0</v>
      </c>
    </row>
    <row r="80" customFormat="false" ht="14.25" hidden="false" customHeight="false" outlineLevel="0" collapsed="false">
      <c r="A80" s="7" t="s">
        <v>323</v>
      </c>
      <c r="B80" s="2" t="s">
        <v>292</v>
      </c>
      <c r="C80" s="2" t="s">
        <v>299</v>
      </c>
      <c r="D80" s="2" t="n">
        <f aca="false">SUM(E80,G80,I80,K80,M80,O80)</f>
        <v>0</v>
      </c>
    </row>
    <row r="81" customFormat="false" ht="14.25" hidden="false" customHeight="false" outlineLevel="0" collapsed="false">
      <c r="A81" s="7" t="s">
        <v>324</v>
      </c>
      <c r="B81" s="2" t="s">
        <v>292</v>
      </c>
      <c r="C81" s="2" t="s">
        <v>295</v>
      </c>
      <c r="D81" s="2" t="n">
        <f aca="false">SUM(E81,G81,I81,K81,M81,O81)</f>
        <v>0</v>
      </c>
    </row>
    <row r="82" customFormat="false" ht="14.25" hidden="false" customHeight="false" outlineLevel="0" collapsed="false">
      <c r="A82" s="7" t="s">
        <v>325</v>
      </c>
      <c r="B82" s="2" t="s">
        <v>292</v>
      </c>
      <c r="C82" s="2" t="s">
        <v>295</v>
      </c>
      <c r="D82" s="2" t="n">
        <f aca="false">SUM(E82,G82,I82,K82,M82,O82)</f>
        <v>0</v>
      </c>
    </row>
    <row r="83" customFormat="false" ht="14.25" hidden="false" customHeight="false" outlineLevel="0" collapsed="false">
      <c r="A83" s="7" t="s">
        <v>326</v>
      </c>
      <c r="B83" s="2" t="s">
        <v>292</v>
      </c>
      <c r="C83" s="2" t="s">
        <v>295</v>
      </c>
      <c r="D83" s="2" t="n">
        <f aca="false">SUM(E83,G83,I83,K83,M83,O83)</f>
        <v>0</v>
      </c>
    </row>
    <row r="84" customFormat="false" ht="14.25" hidden="false" customHeight="false" outlineLevel="0" collapsed="false">
      <c r="A84" s="7" t="s">
        <v>327</v>
      </c>
      <c r="B84" s="2" t="s">
        <v>292</v>
      </c>
      <c r="C84" s="2" t="s">
        <v>295</v>
      </c>
      <c r="D84" s="2" t="n">
        <f aca="false">SUM(E84,G84,I84,K84,M84,O84)</f>
        <v>0</v>
      </c>
    </row>
    <row r="85" customFormat="false" ht="14.25" hidden="false" customHeight="false" outlineLevel="0" collapsed="false">
      <c r="A85" s="7" t="s">
        <v>328</v>
      </c>
      <c r="B85" s="2" t="s">
        <v>292</v>
      </c>
      <c r="C85" s="2" t="s">
        <v>295</v>
      </c>
      <c r="D85" s="2" t="n">
        <f aca="false">SUM(E85,G85,I85,K85,M85,O85)</f>
        <v>0</v>
      </c>
    </row>
    <row r="86" customFormat="false" ht="14.25" hidden="false" customHeight="false" outlineLevel="0" collapsed="false">
      <c r="A86" s="7" t="s">
        <v>329</v>
      </c>
      <c r="B86" s="2" t="s">
        <v>292</v>
      </c>
      <c r="C86" s="2" t="s">
        <v>293</v>
      </c>
      <c r="D86" s="2" t="n">
        <f aca="false">SUM(E86,G86,I86,K86,M86,O86)</f>
        <v>0</v>
      </c>
    </row>
    <row r="87" customFormat="false" ht="14.25" hidden="false" customHeight="false" outlineLevel="0" collapsed="false">
      <c r="A87" s="7" t="s">
        <v>330</v>
      </c>
      <c r="B87" s="2" t="s">
        <v>292</v>
      </c>
      <c r="C87" s="2" t="s">
        <v>297</v>
      </c>
      <c r="D87" s="2" t="n">
        <f aca="false">SUM(E87,G87,I87,K87,M87,O87)</f>
        <v>1</v>
      </c>
      <c r="M87" s="1" t="n">
        <v>1</v>
      </c>
    </row>
    <row r="88" customFormat="false" ht="14.25" hidden="false" customHeight="false" outlineLevel="0" collapsed="false">
      <c r="A88" s="7" t="s">
        <v>331</v>
      </c>
      <c r="B88" s="2" t="s">
        <v>292</v>
      </c>
      <c r="C88" s="2" t="s">
        <v>293</v>
      </c>
      <c r="D88" s="2" t="n">
        <f aca="false">SUM(E88,G88,I88,K88,M88,O88)</f>
        <v>1</v>
      </c>
      <c r="M88" s="1" t="n">
        <v>1</v>
      </c>
      <c r="N88" s="2" t="s">
        <v>250</v>
      </c>
    </row>
    <row r="89" customFormat="false" ht="14.25" hidden="false" customHeight="false" outlineLevel="0" collapsed="false">
      <c r="A89" s="7" t="s">
        <v>332</v>
      </c>
      <c r="B89" s="2" t="s">
        <v>292</v>
      </c>
      <c r="C89" s="2" t="s">
        <v>297</v>
      </c>
      <c r="D89" s="2" t="n">
        <f aca="false">SUM(E89,G89,I89,K89,M89,O89)</f>
        <v>0</v>
      </c>
    </row>
    <row r="90" customFormat="false" ht="14.25" hidden="false" customHeight="false" outlineLevel="0" collapsed="false">
      <c r="A90" s="7" t="s">
        <v>333</v>
      </c>
      <c r="B90" s="2" t="s">
        <v>292</v>
      </c>
      <c r="C90" s="2" t="s">
        <v>297</v>
      </c>
      <c r="D90" s="2" t="n">
        <f aca="false">SUM(E90,G90,I90,K90,M90,O90)</f>
        <v>0</v>
      </c>
    </row>
    <row r="91" customFormat="false" ht="14.25" hidden="false" customHeight="false" outlineLevel="0" collapsed="false">
      <c r="A91" s="7" t="s">
        <v>334</v>
      </c>
      <c r="B91" s="2" t="s">
        <v>292</v>
      </c>
      <c r="C91" s="2" t="s">
        <v>293</v>
      </c>
      <c r="D91" s="2" t="n">
        <f aca="false">SUM(E91,G91,I91,K91,M91,O91)</f>
        <v>0</v>
      </c>
    </row>
    <row r="92" customFormat="false" ht="14.25" hidden="false" customHeight="false" outlineLevel="0" collapsed="false">
      <c r="A92" s="7" t="s">
        <v>335</v>
      </c>
      <c r="B92" s="2" t="s">
        <v>292</v>
      </c>
      <c r="C92" s="2" t="s">
        <v>297</v>
      </c>
      <c r="D92" s="2" t="n">
        <f aca="false">SUM(E92,G92,I92,K92,M92,O92)</f>
        <v>0</v>
      </c>
    </row>
    <row r="93" customFormat="false" ht="14.25" hidden="false" customHeight="false" outlineLevel="0" collapsed="false">
      <c r="A93" s="7" t="s">
        <v>336</v>
      </c>
      <c r="B93" s="2" t="s">
        <v>292</v>
      </c>
      <c r="C93" s="2" t="s">
        <v>293</v>
      </c>
      <c r="D93" s="2" t="n">
        <f aca="false">SUM(E93,G93,I93,K93,M93,O93)</f>
        <v>1</v>
      </c>
      <c r="M93" s="1" t="n">
        <v>1</v>
      </c>
      <c r="N93" s="2" t="s">
        <v>208</v>
      </c>
    </row>
    <row r="94" customFormat="false" ht="14.25" hidden="false" customHeight="false" outlineLevel="0" collapsed="false">
      <c r="A94" s="7" t="s">
        <v>337</v>
      </c>
      <c r="B94" s="2" t="s">
        <v>292</v>
      </c>
      <c r="C94" s="2" t="s">
        <v>295</v>
      </c>
      <c r="D94" s="2" t="n">
        <f aca="false">SUM(E94,G94,I94,K94,M94,O94)</f>
        <v>0</v>
      </c>
    </row>
    <row r="95" customFormat="false" ht="14.25" hidden="false" customHeight="false" outlineLevel="0" collapsed="false">
      <c r="A95" s="7" t="s">
        <v>338</v>
      </c>
      <c r="B95" s="2" t="s">
        <v>292</v>
      </c>
      <c r="C95" s="2" t="s">
        <v>295</v>
      </c>
      <c r="D95" s="2" t="n">
        <f aca="false">SUM(E95,G95,I95,K95,M95,O95)</f>
        <v>0</v>
      </c>
    </row>
    <row r="96" customFormat="false" ht="14.25" hidden="false" customHeight="false" outlineLevel="0" collapsed="false">
      <c r="A96" s="7" t="s">
        <v>339</v>
      </c>
      <c r="B96" s="2" t="s">
        <v>292</v>
      </c>
      <c r="C96" s="2" t="s">
        <v>293</v>
      </c>
      <c r="D96" s="2" t="n">
        <f aca="false">SUM(E96,G96,I96,K96,M96,O96)</f>
        <v>0</v>
      </c>
    </row>
    <row r="97" customFormat="false" ht="14.25" hidden="false" customHeight="false" outlineLevel="0" collapsed="false">
      <c r="A97" s="7" t="s">
        <v>340</v>
      </c>
      <c r="B97" s="2" t="s">
        <v>292</v>
      </c>
      <c r="C97" s="2" t="s">
        <v>293</v>
      </c>
      <c r="D97" s="2" t="n">
        <f aca="false">SUM(E97,G97,I97,K97,M97,O97)</f>
        <v>0</v>
      </c>
    </row>
    <row r="98" customFormat="false" ht="14.25" hidden="false" customHeight="false" outlineLevel="0" collapsed="false">
      <c r="A98" s="7" t="s">
        <v>341</v>
      </c>
      <c r="B98" s="2" t="s">
        <v>292</v>
      </c>
      <c r="C98" s="2" t="s">
        <v>293</v>
      </c>
      <c r="D98" s="2" t="n">
        <f aca="false">SUM(E98,G98,I98,K98,M98,O98)</f>
        <v>0</v>
      </c>
    </row>
    <row r="99" customFormat="false" ht="14.25" hidden="false" customHeight="false" outlineLevel="0" collapsed="false">
      <c r="A99" s="7" t="s">
        <v>342</v>
      </c>
      <c r="B99" s="2" t="s">
        <v>292</v>
      </c>
      <c r="C99" s="2" t="s">
        <v>295</v>
      </c>
      <c r="D99" s="2" t="n">
        <f aca="false">SUM(E99,G99,I99,K99,M99,O99)</f>
        <v>0</v>
      </c>
    </row>
    <row r="100" customFormat="false" ht="14.25" hidden="false" customHeight="false" outlineLevel="0" collapsed="false">
      <c r="A100" s="7" t="s">
        <v>343</v>
      </c>
      <c r="B100" s="2" t="s">
        <v>292</v>
      </c>
      <c r="C100" s="2" t="s">
        <v>293</v>
      </c>
      <c r="D100" s="2" t="n">
        <f aca="false">SUM(E100,G100,I100,K100,M100,O100)</f>
        <v>0</v>
      </c>
    </row>
    <row r="101" customFormat="false" ht="14.25" hidden="false" customHeight="false" outlineLevel="0" collapsed="false">
      <c r="A101" s="7" t="s">
        <v>344</v>
      </c>
      <c r="B101" s="2" t="s">
        <v>292</v>
      </c>
      <c r="C101" s="2" t="s">
        <v>293</v>
      </c>
      <c r="D101" s="2" t="n">
        <f aca="false">SUM(E101,G101,I101,K101,M101,O101)</f>
        <v>0</v>
      </c>
    </row>
    <row r="102" customFormat="false" ht="14.25" hidden="false" customHeight="false" outlineLevel="0" collapsed="false">
      <c r="A102" s="7" t="s">
        <v>345</v>
      </c>
      <c r="B102" s="2" t="s">
        <v>292</v>
      </c>
      <c r="C102" s="2" t="s">
        <v>297</v>
      </c>
      <c r="D102" s="2" t="n">
        <f aca="false">SUM(E102,G102,I102,K102,M102,O102)</f>
        <v>1</v>
      </c>
      <c r="O102" s="1" t="n">
        <v>1</v>
      </c>
      <c r="P102" s="2" t="s">
        <v>221</v>
      </c>
    </row>
    <row r="103" customFormat="false" ht="14.25" hidden="false" customHeight="false" outlineLevel="0" collapsed="false">
      <c r="A103" s="7" t="s">
        <v>346</v>
      </c>
      <c r="B103" s="2" t="s">
        <v>292</v>
      </c>
      <c r="C103" s="2" t="s">
        <v>295</v>
      </c>
      <c r="D103" s="2" t="n">
        <f aca="false">SUM(E103,G103,I103,K103,M103,O103)</f>
        <v>0</v>
      </c>
    </row>
    <row r="104" customFormat="false" ht="14.25" hidden="false" customHeight="false" outlineLevel="0" collapsed="false">
      <c r="A104" s="7" t="s">
        <v>347</v>
      </c>
      <c r="B104" s="2" t="s">
        <v>292</v>
      </c>
      <c r="C104" s="2" t="s">
        <v>293</v>
      </c>
      <c r="D104" s="2" t="n">
        <f aca="false">SUM(E104,G104,I104,K104,M104,O104)</f>
        <v>0</v>
      </c>
    </row>
    <row r="105" customFormat="false" ht="14.25" hidden="false" customHeight="false" outlineLevel="0" collapsed="false">
      <c r="A105" s="7" t="s">
        <v>348</v>
      </c>
      <c r="B105" s="2" t="s">
        <v>292</v>
      </c>
      <c r="C105" s="2" t="s">
        <v>295</v>
      </c>
      <c r="D105" s="2" t="n">
        <f aca="false">SUM(E105,G105,I105,K105,M105,O105)</f>
        <v>0</v>
      </c>
    </row>
    <row r="106" customFormat="false" ht="14.25" hidden="false" customHeight="false" outlineLevel="0" collapsed="false">
      <c r="A106" s="7" t="s">
        <v>349</v>
      </c>
      <c r="B106" s="2" t="s">
        <v>292</v>
      </c>
      <c r="C106" s="2" t="s">
        <v>293</v>
      </c>
      <c r="D106" s="2" t="n">
        <f aca="false">SUM(E106,G106,I106,K106,M106,O106)</f>
        <v>0</v>
      </c>
    </row>
    <row r="107" customFormat="false" ht="14.25" hidden="false" customHeight="false" outlineLevel="0" collapsed="false">
      <c r="A107" s="7" t="s">
        <v>350</v>
      </c>
      <c r="B107" s="2" t="s">
        <v>292</v>
      </c>
      <c r="C107" s="2" t="s">
        <v>297</v>
      </c>
      <c r="D107" s="2" t="n">
        <f aca="false">SUM(E107,G107,I107,K107,M107,O107)</f>
        <v>2</v>
      </c>
      <c r="E107" s="1" t="n">
        <v>1</v>
      </c>
      <c r="F107" s="2" t="s">
        <v>235</v>
      </c>
      <c r="K107" s="1" t="n">
        <v>1</v>
      </c>
      <c r="L107" s="2" t="s">
        <v>279</v>
      </c>
    </row>
    <row r="108" customFormat="false" ht="14.25" hidden="false" customHeight="false" outlineLevel="0" collapsed="false">
      <c r="A108" s="7" t="s">
        <v>351</v>
      </c>
      <c r="B108" s="2" t="s">
        <v>292</v>
      </c>
      <c r="C108" s="2" t="s">
        <v>299</v>
      </c>
      <c r="D108" s="2" t="n">
        <f aca="false">SUM(E108,G108,I108,K108,M108,O108)</f>
        <v>1</v>
      </c>
      <c r="O108" s="1" t="n">
        <v>1</v>
      </c>
      <c r="P108" s="2" t="s">
        <v>242</v>
      </c>
    </row>
    <row r="109" customFormat="false" ht="14.25" hidden="false" customHeight="false" outlineLevel="0" collapsed="false">
      <c r="A109" s="7" t="s">
        <v>352</v>
      </c>
      <c r="B109" s="2" t="s">
        <v>292</v>
      </c>
      <c r="C109" s="2" t="s">
        <v>293</v>
      </c>
      <c r="D109" s="2" t="n">
        <f aca="false">SUM(E109,G109,I109,K109,M109,O109)</f>
        <v>0</v>
      </c>
    </row>
    <row r="110" customFormat="false" ht="14.25" hidden="false" customHeight="false" outlineLevel="0" collapsed="false">
      <c r="A110" s="7" t="s">
        <v>353</v>
      </c>
      <c r="B110" s="2" t="s">
        <v>292</v>
      </c>
      <c r="C110" s="2" t="s">
        <v>293</v>
      </c>
      <c r="D110" s="2" t="n">
        <f aca="false">SUM(E110,G110,I110,K110,M110,O110)</f>
        <v>0</v>
      </c>
    </row>
    <row r="111" customFormat="false" ht="14.25" hidden="false" customHeight="false" outlineLevel="0" collapsed="false">
      <c r="A111" s="7" t="s">
        <v>354</v>
      </c>
      <c r="B111" s="2" t="s">
        <v>292</v>
      </c>
      <c r="C111" s="2" t="s">
        <v>297</v>
      </c>
      <c r="D111" s="2" t="n">
        <f aca="false">SUM(E111,G111,I111,K111,M111,O111)</f>
        <v>0</v>
      </c>
    </row>
    <row r="112" customFormat="false" ht="14.25" hidden="false" customHeight="false" outlineLevel="0" collapsed="false">
      <c r="A112" s="7" t="s">
        <v>355</v>
      </c>
      <c r="B112" s="2" t="s">
        <v>292</v>
      </c>
      <c r="C112" s="2" t="s">
        <v>297</v>
      </c>
      <c r="D112" s="2" t="n">
        <f aca="false">SUM(E112,G112,I112,K112,M112,O112)</f>
        <v>0</v>
      </c>
    </row>
    <row r="113" customFormat="false" ht="14.25" hidden="false" customHeight="false" outlineLevel="0" collapsed="false">
      <c r="A113" s="7" t="s">
        <v>356</v>
      </c>
      <c r="B113" s="2" t="s">
        <v>292</v>
      </c>
      <c r="C113" s="2" t="s">
        <v>295</v>
      </c>
      <c r="D113" s="2" t="n">
        <f aca="false">SUM(E113,G113,I113,K113,M113,O113)</f>
        <v>0</v>
      </c>
    </row>
    <row r="114" customFormat="false" ht="14.25" hidden="false" customHeight="false" outlineLevel="0" collapsed="false">
      <c r="A114" s="7" t="s">
        <v>357</v>
      </c>
      <c r="B114" s="2" t="s">
        <v>292</v>
      </c>
      <c r="C114" s="2" t="s">
        <v>293</v>
      </c>
      <c r="D114" s="2" t="n">
        <f aca="false">SUM(E114,G114,I114,K114,M114,O114)</f>
        <v>1</v>
      </c>
      <c r="K114" s="1" t="n">
        <v>1</v>
      </c>
      <c r="L114" s="2" t="s">
        <v>279</v>
      </c>
    </row>
    <row r="115" customFormat="false" ht="14.25" hidden="false" customHeight="false" outlineLevel="0" collapsed="false">
      <c r="A115" s="7" t="s">
        <v>358</v>
      </c>
      <c r="B115" s="2" t="s">
        <v>292</v>
      </c>
      <c r="C115" s="2" t="s">
        <v>295</v>
      </c>
      <c r="D115" s="2" t="n">
        <f aca="false">SUM(E115,G115,I115,K115,M115,O115)</f>
        <v>0</v>
      </c>
    </row>
    <row r="116" customFormat="false" ht="14.25" hidden="false" customHeight="false" outlineLevel="0" collapsed="false">
      <c r="A116" s="7" t="s">
        <v>359</v>
      </c>
      <c r="B116" s="2" t="s">
        <v>292</v>
      </c>
      <c r="C116" s="2" t="s">
        <v>295</v>
      </c>
      <c r="D116" s="2" t="n">
        <f aca="false">SUM(E116,G116,I116,K116,M116,O116)</f>
        <v>0</v>
      </c>
    </row>
    <row r="117" customFormat="false" ht="14.25" hidden="false" customHeight="false" outlineLevel="0" collapsed="false">
      <c r="A117" s="7" t="s">
        <v>360</v>
      </c>
      <c r="B117" s="2" t="s">
        <v>292</v>
      </c>
      <c r="C117" s="2" t="s">
        <v>293</v>
      </c>
      <c r="D117" s="2" t="n">
        <f aca="false">SUM(E117,G117,I117,K117,M117,O117)</f>
        <v>0</v>
      </c>
    </row>
    <row r="118" customFormat="false" ht="14.25" hidden="false" customHeight="false" outlineLevel="0" collapsed="false">
      <c r="A118" s="7" t="s">
        <v>361</v>
      </c>
      <c r="B118" s="2" t="s">
        <v>292</v>
      </c>
      <c r="C118" s="2" t="s">
        <v>293</v>
      </c>
      <c r="D118" s="2" t="n">
        <f aca="false">SUM(E118,G118,I118,K118,M118,O118)</f>
        <v>0</v>
      </c>
    </row>
    <row r="119" customFormat="false" ht="14.25" hidden="false" customHeight="false" outlineLevel="0" collapsed="false">
      <c r="A119" s="7" t="s">
        <v>362</v>
      </c>
      <c r="B119" s="2" t="s">
        <v>292</v>
      </c>
      <c r="C119" s="2" t="s">
        <v>295</v>
      </c>
      <c r="D119" s="2" t="n">
        <f aca="false">SUM(E119,G119,I119,K119,M119,O119)</f>
        <v>0</v>
      </c>
    </row>
    <row r="120" customFormat="false" ht="14.25" hidden="false" customHeight="false" outlineLevel="0" collapsed="false">
      <c r="A120" s="7" t="s">
        <v>363</v>
      </c>
      <c r="B120" s="2" t="s">
        <v>292</v>
      </c>
      <c r="C120" s="2" t="s">
        <v>295</v>
      </c>
      <c r="D120" s="2" t="n">
        <f aca="false">SUM(E120,G120,I120,K120,M120,O120)</f>
        <v>0</v>
      </c>
    </row>
    <row r="121" customFormat="false" ht="14.25" hidden="false" customHeight="false" outlineLevel="0" collapsed="false">
      <c r="A121" s="7" t="s">
        <v>364</v>
      </c>
      <c r="B121" s="2" t="s">
        <v>292</v>
      </c>
      <c r="C121" s="2" t="s">
        <v>295</v>
      </c>
      <c r="D121" s="2" t="n">
        <f aca="false">SUM(E121,G121,I121,K121,M121,O121)</f>
        <v>1</v>
      </c>
      <c r="M121" s="1" t="n">
        <v>1</v>
      </c>
      <c r="N121" s="2" t="s">
        <v>250</v>
      </c>
    </row>
    <row r="122" customFormat="false" ht="14.25" hidden="false" customHeight="false" outlineLevel="0" collapsed="false">
      <c r="A122" s="7" t="s">
        <v>365</v>
      </c>
      <c r="B122" s="2" t="s">
        <v>292</v>
      </c>
      <c r="C122" s="2" t="s">
        <v>295</v>
      </c>
      <c r="D122" s="2" t="n">
        <f aca="false">SUM(E122,G122,I122,K122,M122,O122)</f>
        <v>1</v>
      </c>
      <c r="O122" s="1" t="n">
        <v>1</v>
      </c>
      <c r="P122" s="2" t="s">
        <v>235</v>
      </c>
    </row>
    <row r="123" customFormat="false" ht="14.25" hidden="false" customHeight="false" outlineLevel="0" collapsed="false">
      <c r="A123" s="7" t="s">
        <v>366</v>
      </c>
      <c r="B123" s="2" t="s">
        <v>292</v>
      </c>
      <c r="C123" s="2" t="s">
        <v>297</v>
      </c>
      <c r="D123" s="2" t="n">
        <f aca="false">SUM(E123,G123,I123,K123,M123,O123)</f>
        <v>0</v>
      </c>
    </row>
    <row r="124" customFormat="false" ht="14.25" hidden="false" customHeight="false" outlineLevel="0" collapsed="false">
      <c r="A124" s="7" t="s">
        <v>367</v>
      </c>
      <c r="B124" s="2" t="s">
        <v>292</v>
      </c>
      <c r="C124" s="2" t="s">
        <v>295</v>
      </c>
      <c r="D124" s="2" t="n">
        <f aca="false">SUM(E124,G124,I124,K124,M124,O124)</f>
        <v>0</v>
      </c>
    </row>
    <row r="125" customFormat="false" ht="14.25" hidden="false" customHeight="false" outlineLevel="0" collapsed="false">
      <c r="A125" s="7" t="s">
        <v>368</v>
      </c>
      <c r="B125" s="2" t="s">
        <v>292</v>
      </c>
      <c r="C125" s="2" t="s">
        <v>293</v>
      </c>
      <c r="D125" s="2" t="n">
        <f aca="false">SUM(E125,G125,I125,K125,M125,O125)</f>
        <v>1</v>
      </c>
      <c r="O125" s="1" t="n">
        <v>1</v>
      </c>
      <c r="P125" s="2" t="s">
        <v>235</v>
      </c>
    </row>
    <row r="126" customFormat="false" ht="14.25" hidden="false" customHeight="false" outlineLevel="0" collapsed="false">
      <c r="A126" s="7" t="s">
        <v>369</v>
      </c>
      <c r="B126" s="2" t="s">
        <v>292</v>
      </c>
      <c r="C126" s="2" t="s">
        <v>293</v>
      </c>
      <c r="D126" s="2" t="n">
        <f aca="false">SUM(E126,G126,I126,K126,M126,O126)</f>
        <v>0</v>
      </c>
    </row>
    <row r="127" customFormat="false" ht="14.25" hidden="false" customHeight="false" outlineLevel="0" collapsed="false">
      <c r="A127" s="7" t="s">
        <v>370</v>
      </c>
      <c r="B127" s="2" t="s">
        <v>292</v>
      </c>
      <c r="C127" s="2" t="s">
        <v>295</v>
      </c>
      <c r="D127" s="2" t="n">
        <f aca="false">SUM(E127,G127,I127,K127,M127,O127)</f>
        <v>0</v>
      </c>
    </row>
    <row r="128" customFormat="false" ht="14.25" hidden="false" customHeight="false" outlineLevel="0" collapsed="false">
      <c r="A128" s="7" t="s">
        <v>371</v>
      </c>
      <c r="B128" s="2" t="s">
        <v>292</v>
      </c>
      <c r="C128" s="2" t="s">
        <v>293</v>
      </c>
      <c r="D128" s="2" t="n">
        <f aca="false">SUM(E128,G128,I128,K128,M128,O128)</f>
        <v>1</v>
      </c>
      <c r="O128" s="1" t="n">
        <v>1</v>
      </c>
      <c r="P128" s="2" t="s">
        <v>235</v>
      </c>
    </row>
    <row r="129" customFormat="false" ht="14.25" hidden="false" customHeight="false" outlineLevel="0" collapsed="false">
      <c r="A129" s="7" t="s">
        <v>372</v>
      </c>
      <c r="B129" s="2" t="s">
        <v>373</v>
      </c>
      <c r="C129" s="2" t="s">
        <v>374</v>
      </c>
      <c r="D129" s="2" t="n">
        <f aca="false">SUM(E129,G129,I129,K129,M129,O129)</f>
        <v>0</v>
      </c>
    </row>
    <row r="130" customFormat="false" ht="14.25" hidden="false" customHeight="false" outlineLevel="0" collapsed="false">
      <c r="A130" s="7" t="s">
        <v>375</v>
      </c>
      <c r="B130" s="2" t="s">
        <v>373</v>
      </c>
      <c r="C130" s="2" t="s">
        <v>376</v>
      </c>
      <c r="D130" s="2" t="n">
        <f aca="false">SUM(E130,G130,I130,K130,M130,O130)</f>
        <v>0</v>
      </c>
    </row>
    <row r="131" customFormat="false" ht="14.25" hidden="false" customHeight="false" outlineLevel="0" collapsed="false">
      <c r="A131" s="7" t="s">
        <v>377</v>
      </c>
      <c r="B131" s="2" t="s">
        <v>373</v>
      </c>
      <c r="C131" s="2" t="s">
        <v>378</v>
      </c>
      <c r="D131" s="2" t="n">
        <f aca="false">SUM(E131,G131,I131,K131,M131,O131)</f>
        <v>1</v>
      </c>
      <c r="O131" s="1" t="n">
        <v>1</v>
      </c>
      <c r="P131" s="2" t="s">
        <v>225</v>
      </c>
    </row>
    <row r="132" customFormat="false" ht="14.25" hidden="false" customHeight="false" outlineLevel="0" collapsed="false">
      <c r="A132" s="7" t="s">
        <v>379</v>
      </c>
      <c r="B132" s="2" t="s">
        <v>373</v>
      </c>
      <c r="C132" s="2" t="s">
        <v>378</v>
      </c>
      <c r="D132" s="2" t="n">
        <f aca="false">SUM(E132,G132,I132,K132,M132,O132)</f>
        <v>0</v>
      </c>
    </row>
    <row r="133" customFormat="false" ht="14.25" hidden="false" customHeight="false" outlineLevel="0" collapsed="false">
      <c r="A133" s="7" t="s">
        <v>380</v>
      </c>
      <c r="B133" s="2" t="s">
        <v>373</v>
      </c>
      <c r="C133" s="2" t="s">
        <v>381</v>
      </c>
      <c r="D133" s="2" t="n">
        <f aca="false">SUM(E133,G133,I133,K133,M133,O133)</f>
        <v>0</v>
      </c>
    </row>
    <row r="134" customFormat="false" ht="14.25" hidden="false" customHeight="false" outlineLevel="0" collapsed="false">
      <c r="A134" s="7" t="s">
        <v>382</v>
      </c>
      <c r="B134" s="2" t="s">
        <v>373</v>
      </c>
      <c r="C134" s="2" t="s">
        <v>374</v>
      </c>
      <c r="D134" s="2" t="n">
        <f aca="false">SUM(E134,G134,I134,K134,M134,O134)</f>
        <v>1</v>
      </c>
      <c r="I134" s="1" t="n">
        <v>1</v>
      </c>
      <c r="J134" s="2" t="s">
        <v>383</v>
      </c>
    </row>
    <row r="135" customFormat="false" ht="14.25" hidden="false" customHeight="false" outlineLevel="0" collapsed="false">
      <c r="A135" s="7" t="s">
        <v>384</v>
      </c>
      <c r="B135" s="2" t="s">
        <v>373</v>
      </c>
      <c r="C135" s="2" t="s">
        <v>376</v>
      </c>
      <c r="D135" s="2" t="n">
        <f aca="false">SUM(E135,G135,I135,K135,M135,O135)</f>
        <v>0</v>
      </c>
    </row>
    <row r="136" customFormat="false" ht="14.25" hidden="false" customHeight="false" outlineLevel="0" collapsed="false">
      <c r="A136" s="7" t="s">
        <v>385</v>
      </c>
      <c r="B136" s="2" t="s">
        <v>373</v>
      </c>
      <c r="C136" s="2" t="s">
        <v>374</v>
      </c>
      <c r="D136" s="2" t="n">
        <f aca="false">SUM(E136,G136,I136,K136,M136,O136)</f>
        <v>0</v>
      </c>
    </row>
    <row r="137" customFormat="false" ht="14.25" hidden="false" customHeight="false" outlineLevel="0" collapsed="false">
      <c r="A137" s="7" t="s">
        <v>386</v>
      </c>
      <c r="B137" s="2" t="s">
        <v>373</v>
      </c>
      <c r="C137" s="2" t="s">
        <v>374</v>
      </c>
      <c r="D137" s="2" t="n">
        <f aca="false">SUM(E137,G137,I137,K137,M137,O137)</f>
        <v>0</v>
      </c>
    </row>
    <row r="138" customFormat="false" ht="14.25" hidden="false" customHeight="false" outlineLevel="0" collapsed="false">
      <c r="A138" s="7" t="s">
        <v>387</v>
      </c>
      <c r="B138" s="2" t="s">
        <v>373</v>
      </c>
      <c r="C138" s="2" t="s">
        <v>381</v>
      </c>
      <c r="D138" s="2" t="n">
        <f aca="false">SUM(E138,G138,I138,K138,M138,O138)</f>
        <v>0</v>
      </c>
    </row>
    <row r="139" customFormat="false" ht="14.25" hidden="false" customHeight="false" outlineLevel="0" collapsed="false">
      <c r="A139" s="7" t="s">
        <v>388</v>
      </c>
      <c r="B139" s="2" t="s">
        <v>373</v>
      </c>
      <c r="C139" s="2" t="s">
        <v>378</v>
      </c>
      <c r="D139" s="2" t="n">
        <f aca="false">SUM(E139,G139,I139,K139,M139,O139)</f>
        <v>0</v>
      </c>
    </row>
    <row r="140" customFormat="false" ht="14.25" hidden="false" customHeight="false" outlineLevel="0" collapsed="false">
      <c r="A140" s="7" t="s">
        <v>389</v>
      </c>
      <c r="B140" s="2" t="s">
        <v>373</v>
      </c>
      <c r="C140" s="2" t="s">
        <v>381</v>
      </c>
      <c r="D140" s="2" t="n">
        <f aca="false">SUM(E140,G140,I140,K140,M140,O140)</f>
        <v>0</v>
      </c>
    </row>
    <row r="141" customFormat="false" ht="14.25" hidden="false" customHeight="false" outlineLevel="0" collapsed="false">
      <c r="A141" s="7" t="s">
        <v>390</v>
      </c>
      <c r="B141" s="2" t="s">
        <v>373</v>
      </c>
      <c r="C141" s="2" t="s">
        <v>374</v>
      </c>
      <c r="D141" s="2" t="n">
        <f aca="false">SUM(E141,G141,I141,K141,M141,O141)</f>
        <v>0</v>
      </c>
    </row>
    <row r="142" customFormat="false" ht="14.25" hidden="false" customHeight="false" outlineLevel="0" collapsed="false">
      <c r="A142" s="7" t="s">
        <v>391</v>
      </c>
      <c r="B142" s="2" t="s">
        <v>373</v>
      </c>
      <c r="C142" s="2" t="s">
        <v>381</v>
      </c>
      <c r="D142" s="2" t="n">
        <f aca="false">SUM(E142,G142,I142,K142,M142,O142)</f>
        <v>0</v>
      </c>
    </row>
    <row r="143" customFormat="false" ht="14.25" hidden="false" customHeight="false" outlineLevel="0" collapsed="false">
      <c r="A143" s="7" t="s">
        <v>392</v>
      </c>
      <c r="B143" s="2" t="s">
        <v>373</v>
      </c>
      <c r="C143" s="2" t="s">
        <v>378</v>
      </c>
      <c r="D143" s="2" t="n">
        <f aca="false">SUM(E143,G143,I143,K143,M143,O143)</f>
        <v>0</v>
      </c>
    </row>
    <row r="144" customFormat="false" ht="14.25" hidden="false" customHeight="false" outlineLevel="0" collapsed="false">
      <c r="A144" s="7" t="s">
        <v>393</v>
      </c>
      <c r="B144" s="2" t="s">
        <v>373</v>
      </c>
      <c r="C144" s="2" t="s">
        <v>376</v>
      </c>
      <c r="D144" s="2" t="n">
        <f aca="false">SUM(E144,G144,I144,K144,M144,O144)</f>
        <v>2</v>
      </c>
      <c r="E144" s="1" t="n">
        <v>1</v>
      </c>
      <c r="F144" s="2" t="s">
        <v>394</v>
      </c>
      <c r="G144" s="1" t="n">
        <v>1</v>
      </c>
      <c r="H144" s="2" t="s">
        <v>394</v>
      </c>
    </row>
    <row r="145" customFormat="false" ht="14.25" hidden="false" customHeight="false" outlineLevel="0" collapsed="false">
      <c r="A145" s="7" t="s">
        <v>395</v>
      </c>
      <c r="B145" s="2" t="s">
        <v>373</v>
      </c>
      <c r="C145" s="2" t="s">
        <v>374</v>
      </c>
      <c r="D145" s="2" t="n">
        <f aca="false">SUM(E145,G145,I145,K145,M145,O145)</f>
        <v>0</v>
      </c>
    </row>
    <row r="146" customFormat="false" ht="14.25" hidden="false" customHeight="false" outlineLevel="0" collapsed="false">
      <c r="A146" s="7" t="s">
        <v>396</v>
      </c>
      <c r="B146" s="2" t="s">
        <v>373</v>
      </c>
      <c r="C146" s="2" t="s">
        <v>381</v>
      </c>
      <c r="D146" s="2" t="n">
        <f aca="false">SUM(E146,G146,I146,K146,M146,O146)</f>
        <v>0</v>
      </c>
    </row>
    <row r="147" customFormat="false" ht="14.25" hidden="false" customHeight="false" outlineLevel="0" collapsed="false">
      <c r="A147" s="7" t="s">
        <v>397</v>
      </c>
      <c r="B147" s="2" t="s">
        <v>373</v>
      </c>
      <c r="C147" s="2" t="s">
        <v>376</v>
      </c>
      <c r="D147" s="2" t="n">
        <f aca="false">SUM(E147,G147,I147,K147,M147,O147)</f>
        <v>0</v>
      </c>
    </row>
    <row r="148" customFormat="false" ht="14.25" hidden="false" customHeight="false" outlineLevel="0" collapsed="false">
      <c r="A148" s="7" t="s">
        <v>398</v>
      </c>
      <c r="B148" s="2" t="s">
        <v>373</v>
      </c>
      <c r="C148" s="2" t="s">
        <v>374</v>
      </c>
      <c r="D148" s="2" t="n">
        <f aca="false">SUM(E148,G148,I148,K148,M148,O148)</f>
        <v>1</v>
      </c>
      <c r="K148" s="1" t="n">
        <v>1</v>
      </c>
      <c r="L148" s="2" t="s">
        <v>293</v>
      </c>
    </row>
    <row r="149" customFormat="false" ht="14.25" hidden="false" customHeight="false" outlineLevel="0" collapsed="false">
      <c r="A149" s="7" t="s">
        <v>399</v>
      </c>
      <c r="B149" s="2" t="s">
        <v>373</v>
      </c>
      <c r="C149" s="2" t="s">
        <v>374</v>
      </c>
      <c r="D149" s="2" t="n">
        <f aca="false">SUM(E149,G149,I149,K149,M149,O149)</f>
        <v>1</v>
      </c>
      <c r="K149" s="1" t="n">
        <v>1</v>
      </c>
      <c r="L149" s="2" t="s">
        <v>293</v>
      </c>
    </row>
    <row r="150" customFormat="false" ht="14.25" hidden="false" customHeight="false" outlineLevel="0" collapsed="false">
      <c r="A150" s="7" t="s">
        <v>400</v>
      </c>
      <c r="B150" s="2" t="s">
        <v>373</v>
      </c>
      <c r="C150" s="2" t="s">
        <v>374</v>
      </c>
      <c r="D150" s="2" t="n">
        <f aca="false">SUM(E150,G150,I150,K150,M150,O150)</f>
        <v>1</v>
      </c>
      <c r="K150" s="1" t="n">
        <v>1</v>
      </c>
      <c r="L150" s="2" t="s">
        <v>293</v>
      </c>
    </row>
    <row r="151" customFormat="false" ht="14.25" hidden="false" customHeight="false" outlineLevel="0" collapsed="false">
      <c r="A151" s="7" t="s">
        <v>401</v>
      </c>
      <c r="B151" s="2" t="s">
        <v>373</v>
      </c>
      <c r="C151" s="2" t="s">
        <v>374</v>
      </c>
      <c r="D151" s="2" t="n">
        <f aca="false">SUM(E151,G151,I151,K151,M151,O151)</f>
        <v>0</v>
      </c>
    </row>
    <row r="152" customFormat="false" ht="14.25" hidden="false" customHeight="false" outlineLevel="0" collapsed="false">
      <c r="A152" s="7" t="s">
        <v>402</v>
      </c>
      <c r="B152" s="2" t="s">
        <v>373</v>
      </c>
      <c r="C152" s="2" t="s">
        <v>376</v>
      </c>
      <c r="D152" s="2" t="n">
        <f aca="false">SUM(E152,G152,I152,K152,M152,O152)</f>
        <v>0</v>
      </c>
    </row>
    <row r="153" customFormat="false" ht="14.25" hidden="false" customHeight="false" outlineLevel="0" collapsed="false">
      <c r="A153" s="7" t="s">
        <v>403</v>
      </c>
      <c r="B153" s="2" t="s">
        <v>373</v>
      </c>
      <c r="C153" s="2" t="s">
        <v>376</v>
      </c>
      <c r="D153" s="2" t="n">
        <f aca="false">SUM(E153,G153,I153,K153,M153,O153)</f>
        <v>0</v>
      </c>
    </row>
    <row r="154" customFormat="false" ht="14.25" hidden="false" customHeight="false" outlineLevel="0" collapsed="false">
      <c r="A154" s="7" t="s">
        <v>404</v>
      </c>
      <c r="B154" s="2" t="s">
        <v>373</v>
      </c>
      <c r="C154" s="2" t="s">
        <v>376</v>
      </c>
      <c r="D154" s="2" t="n">
        <f aca="false">SUM(E154,G154,I154,K154,M154,O154)</f>
        <v>0</v>
      </c>
    </row>
    <row r="155" customFormat="false" ht="14.25" hidden="false" customHeight="false" outlineLevel="0" collapsed="false">
      <c r="A155" s="7" t="s">
        <v>247</v>
      </c>
      <c r="B155" s="2" t="s">
        <v>373</v>
      </c>
      <c r="C155" s="2" t="s">
        <v>374</v>
      </c>
      <c r="D155" s="2" t="n">
        <f aca="false">SUM(E155,G155,I155,K155,M155,O155)</f>
        <v>0</v>
      </c>
    </row>
    <row r="156" customFormat="false" ht="14.25" hidden="false" customHeight="false" outlineLevel="0" collapsed="false">
      <c r="A156" s="7" t="s">
        <v>405</v>
      </c>
      <c r="B156" s="2" t="s">
        <v>373</v>
      </c>
      <c r="C156" s="2" t="s">
        <v>376</v>
      </c>
      <c r="D156" s="2" t="n">
        <f aca="false">SUM(E156,G156,I156,K156,M156,O156)</f>
        <v>0</v>
      </c>
    </row>
    <row r="157" customFormat="false" ht="14.25" hidden="false" customHeight="false" outlineLevel="0" collapsed="false">
      <c r="A157" s="7" t="s">
        <v>406</v>
      </c>
      <c r="B157" s="2" t="s">
        <v>373</v>
      </c>
      <c r="C157" s="2" t="s">
        <v>376</v>
      </c>
      <c r="D157" s="2" t="n">
        <f aca="false">SUM(E157,G157,I157,K157,M157,O157)</f>
        <v>0</v>
      </c>
    </row>
    <row r="158" customFormat="false" ht="14.25" hidden="false" customHeight="false" outlineLevel="0" collapsed="false">
      <c r="A158" s="7" t="s">
        <v>407</v>
      </c>
      <c r="B158" s="2" t="s">
        <v>373</v>
      </c>
      <c r="C158" s="2" t="s">
        <v>374</v>
      </c>
      <c r="D158" s="2" t="n">
        <f aca="false">SUM(E158,G158,I158,K158,M158,O158)</f>
        <v>0</v>
      </c>
    </row>
    <row r="159" customFormat="false" ht="14.25" hidden="false" customHeight="false" outlineLevel="0" collapsed="false">
      <c r="A159" s="7" t="s">
        <v>408</v>
      </c>
      <c r="B159" s="2" t="s">
        <v>373</v>
      </c>
      <c r="C159" s="2" t="s">
        <v>378</v>
      </c>
      <c r="D159" s="2" t="n">
        <f aca="false">SUM(E159,G159,I159,K159,M159,O159)</f>
        <v>0</v>
      </c>
    </row>
    <row r="160" customFormat="false" ht="14.25" hidden="false" customHeight="false" outlineLevel="0" collapsed="false">
      <c r="A160" s="7" t="s">
        <v>253</v>
      </c>
      <c r="B160" s="2" t="s">
        <v>373</v>
      </c>
      <c r="C160" s="2" t="s">
        <v>378</v>
      </c>
      <c r="D160" s="2" t="n">
        <f aca="false">SUM(E160,G160,I160,K160,M160,O160)</f>
        <v>0</v>
      </c>
    </row>
    <row r="161" customFormat="false" ht="14.25" hidden="false" customHeight="false" outlineLevel="0" collapsed="false">
      <c r="A161" s="7" t="s">
        <v>409</v>
      </c>
      <c r="B161" s="2" t="s">
        <v>373</v>
      </c>
      <c r="C161" s="2" t="s">
        <v>381</v>
      </c>
      <c r="D161" s="2" t="n">
        <f aca="false">SUM(E161,G161,I161,K161,M161,O161)</f>
        <v>0</v>
      </c>
    </row>
    <row r="162" customFormat="false" ht="14.25" hidden="false" customHeight="false" outlineLevel="0" collapsed="false">
      <c r="A162" s="7" t="s">
        <v>410</v>
      </c>
      <c r="B162" s="2" t="s">
        <v>373</v>
      </c>
      <c r="C162" s="2" t="s">
        <v>376</v>
      </c>
      <c r="D162" s="2" t="n">
        <f aca="false">SUM(E162,G162,I162,K162,M162,O162)</f>
        <v>0</v>
      </c>
    </row>
    <row r="163" customFormat="false" ht="14.25" hidden="false" customHeight="false" outlineLevel="0" collapsed="false">
      <c r="A163" s="7" t="s">
        <v>411</v>
      </c>
      <c r="B163" s="2" t="s">
        <v>373</v>
      </c>
      <c r="C163" s="2" t="s">
        <v>374</v>
      </c>
      <c r="D163" s="2" t="n">
        <f aca="false">SUM(E163,G163,I163,K163,M163,O163)</f>
        <v>0</v>
      </c>
    </row>
    <row r="164" customFormat="false" ht="14.25" hidden="false" customHeight="false" outlineLevel="0" collapsed="false">
      <c r="A164" s="7" t="s">
        <v>412</v>
      </c>
      <c r="B164" s="2" t="s">
        <v>373</v>
      </c>
      <c r="C164" s="2" t="s">
        <v>374</v>
      </c>
      <c r="D164" s="2" t="n">
        <f aca="false">SUM(E164,G164,I164,K164,M164,O164)</f>
        <v>0</v>
      </c>
    </row>
    <row r="165" customFormat="false" ht="14.25" hidden="false" customHeight="false" outlineLevel="0" collapsed="false">
      <c r="A165" s="7" t="s">
        <v>413</v>
      </c>
      <c r="B165" s="2" t="s">
        <v>373</v>
      </c>
      <c r="C165" s="2" t="s">
        <v>376</v>
      </c>
      <c r="D165" s="2" t="n">
        <f aca="false">SUM(E165,G165,I165,K165,M165,O165)</f>
        <v>3</v>
      </c>
      <c r="E165" s="1" t="n">
        <v>1</v>
      </c>
      <c r="F165" s="2" t="s">
        <v>394</v>
      </c>
      <c r="G165" s="1" t="n">
        <v>1</v>
      </c>
      <c r="H165" s="2" t="s">
        <v>394</v>
      </c>
      <c r="I165" s="1" t="n">
        <v>1</v>
      </c>
      <c r="J165" s="2" t="s">
        <v>293</v>
      </c>
    </row>
    <row r="166" customFormat="false" ht="14.25" hidden="false" customHeight="false" outlineLevel="0" collapsed="false">
      <c r="A166" s="7" t="s">
        <v>414</v>
      </c>
      <c r="B166" s="2" t="s">
        <v>373</v>
      </c>
      <c r="C166" s="2" t="s">
        <v>376</v>
      </c>
      <c r="D166" s="2" t="n">
        <f aca="false">SUM(E166,G166,I166,K166,M166,O166)</f>
        <v>0</v>
      </c>
    </row>
    <row r="167" customFormat="false" ht="14.25" hidden="false" customHeight="false" outlineLevel="0" collapsed="false">
      <c r="A167" s="7" t="s">
        <v>415</v>
      </c>
      <c r="B167" s="2" t="s">
        <v>373</v>
      </c>
      <c r="C167" s="2" t="s">
        <v>376</v>
      </c>
      <c r="D167" s="2" t="n">
        <f aca="false">SUM(E167,G167,I167,K167,M167,O167)</f>
        <v>0</v>
      </c>
    </row>
    <row r="168" customFormat="false" ht="14.25" hidden="false" customHeight="false" outlineLevel="0" collapsed="false">
      <c r="A168" s="7" t="s">
        <v>375</v>
      </c>
      <c r="B168" s="2" t="s">
        <v>416</v>
      </c>
      <c r="C168" s="2" t="s">
        <v>417</v>
      </c>
      <c r="D168" s="2" t="n">
        <f aca="false">SUM(E168,G168,I168,K168,M168,O168)</f>
        <v>0</v>
      </c>
    </row>
    <row r="169" customFormat="false" ht="14.25" hidden="false" customHeight="false" outlineLevel="0" collapsed="false">
      <c r="A169" s="7" t="s">
        <v>418</v>
      </c>
      <c r="B169" s="2" t="s">
        <v>416</v>
      </c>
      <c r="C169" s="2" t="s">
        <v>419</v>
      </c>
      <c r="D169" s="2" t="n">
        <f aca="false">SUM(E169,G169,I169,K169,M169,O169)</f>
        <v>0</v>
      </c>
    </row>
    <row r="170" customFormat="false" ht="14.25" hidden="false" customHeight="false" outlineLevel="0" collapsed="false">
      <c r="A170" s="7" t="s">
        <v>420</v>
      </c>
      <c r="B170" s="2" t="s">
        <v>416</v>
      </c>
      <c r="C170" s="2" t="s">
        <v>419</v>
      </c>
      <c r="D170" s="2" t="n">
        <f aca="false">SUM(E170,G170,I170,K170,M170,O170)</f>
        <v>0</v>
      </c>
    </row>
    <row r="171" customFormat="false" ht="14.25" hidden="false" customHeight="false" outlineLevel="0" collapsed="false">
      <c r="A171" s="7" t="s">
        <v>421</v>
      </c>
      <c r="B171" s="2" t="s">
        <v>416</v>
      </c>
      <c r="C171" s="2" t="s">
        <v>419</v>
      </c>
      <c r="D171" s="2" t="n">
        <f aca="false">SUM(E171,G171,I171,K171,M171,O171)</f>
        <v>0</v>
      </c>
    </row>
    <row r="172" customFormat="false" ht="14.25" hidden="false" customHeight="false" outlineLevel="0" collapsed="false">
      <c r="A172" s="7" t="s">
        <v>422</v>
      </c>
      <c r="B172" s="2" t="s">
        <v>416</v>
      </c>
      <c r="C172" s="2" t="s">
        <v>419</v>
      </c>
      <c r="D172" s="2" t="n">
        <f aca="false">SUM(E172,G172,I172,K172,M172,O172)</f>
        <v>0</v>
      </c>
    </row>
    <row r="173" customFormat="false" ht="14.25" hidden="false" customHeight="false" outlineLevel="0" collapsed="false">
      <c r="A173" s="7" t="s">
        <v>423</v>
      </c>
      <c r="B173" s="2" t="s">
        <v>416</v>
      </c>
      <c r="C173" s="2" t="s">
        <v>419</v>
      </c>
      <c r="D173" s="2" t="n">
        <f aca="false">SUM(E173,G173,I173,K173,M173,O173)</f>
        <v>1</v>
      </c>
      <c r="G173" s="1" t="n">
        <v>1</v>
      </c>
      <c r="H173" s="2" t="s">
        <v>424</v>
      </c>
    </row>
    <row r="174" customFormat="false" ht="14.25" hidden="false" customHeight="false" outlineLevel="0" collapsed="false">
      <c r="A174" s="7" t="s">
        <v>425</v>
      </c>
      <c r="B174" s="2" t="s">
        <v>416</v>
      </c>
      <c r="C174" s="2" t="s">
        <v>419</v>
      </c>
      <c r="D174" s="2" t="n">
        <f aca="false">SUM(E174,G174,I174,K174,M174,O174)</f>
        <v>0</v>
      </c>
    </row>
    <row r="175" customFormat="false" ht="14.25" hidden="false" customHeight="false" outlineLevel="0" collapsed="false">
      <c r="A175" s="7" t="s">
        <v>426</v>
      </c>
      <c r="B175" s="2" t="s">
        <v>416</v>
      </c>
      <c r="C175" s="2" t="s">
        <v>419</v>
      </c>
      <c r="D175" s="2" t="n">
        <f aca="false">SUM(E175,G175,I175,K175,M175,O175)</f>
        <v>0</v>
      </c>
    </row>
    <row r="176" customFormat="false" ht="14.25" hidden="false" customHeight="false" outlineLevel="0" collapsed="false">
      <c r="A176" s="7" t="s">
        <v>410</v>
      </c>
      <c r="B176" s="2" t="s">
        <v>416</v>
      </c>
      <c r="C176" s="2" t="s">
        <v>419</v>
      </c>
      <c r="D176" s="2" t="n">
        <f aca="false">SUM(E176,G176,I176,K176,M176,O176)</f>
        <v>0</v>
      </c>
    </row>
    <row r="177" customFormat="false" ht="14.25" hidden="false" customHeight="false" outlineLevel="0" collapsed="false">
      <c r="A177" s="7" t="s">
        <v>427</v>
      </c>
      <c r="B177" s="2" t="s">
        <v>416</v>
      </c>
      <c r="C177" s="2" t="s">
        <v>419</v>
      </c>
      <c r="D177" s="2" t="n">
        <f aca="false">SUM(E177,G177,I177,K177,M177,O177)</f>
        <v>1</v>
      </c>
      <c r="G177" s="1" t="n">
        <v>1</v>
      </c>
      <c r="H177" s="2" t="s">
        <v>316</v>
      </c>
    </row>
    <row r="178" customFormat="false" ht="14.25" hidden="false" customHeight="false" outlineLevel="0" collapsed="false">
      <c r="A178" s="7" t="s">
        <v>428</v>
      </c>
      <c r="B178" s="2" t="s">
        <v>416</v>
      </c>
      <c r="C178" s="2" t="s">
        <v>419</v>
      </c>
      <c r="D178" s="2" t="n">
        <f aca="false">SUM(E178,G178,I178,K178,M178,O178)</f>
        <v>1</v>
      </c>
      <c r="K178" s="1" t="n">
        <v>1</v>
      </c>
      <c r="L178" s="2" t="s">
        <v>429</v>
      </c>
    </row>
    <row r="179" customFormat="false" ht="14.25" hidden="false" customHeight="false" outlineLevel="0" collapsed="false">
      <c r="A179" s="7" t="s">
        <v>430</v>
      </c>
      <c r="B179" s="2" t="s">
        <v>416</v>
      </c>
      <c r="C179" s="2" t="s">
        <v>419</v>
      </c>
      <c r="D179" s="2" t="n">
        <f aca="false">SUM(E179,G179,I179,K179,M179,O179)</f>
        <v>0</v>
      </c>
    </row>
    <row r="180" customFormat="false" ht="14.25" hidden="false" customHeight="false" outlineLevel="0" collapsed="false">
      <c r="A180" s="7" t="s">
        <v>431</v>
      </c>
      <c r="B180" s="2" t="s">
        <v>432</v>
      </c>
      <c r="C180" s="2" t="s">
        <v>419</v>
      </c>
      <c r="D180" s="2" t="n">
        <f aca="false">SUM(E180,G180,I180,K180,M180,O180)</f>
        <v>0</v>
      </c>
    </row>
    <row r="181" customFormat="false" ht="14.25" hidden="false" customHeight="false" outlineLevel="0" collapsed="false">
      <c r="A181" s="7" t="s">
        <v>433</v>
      </c>
      <c r="B181" s="2" t="s">
        <v>432</v>
      </c>
      <c r="C181" s="2" t="s">
        <v>419</v>
      </c>
      <c r="D181" s="2" t="n">
        <f aca="false">SUM(E181,G181,I181,K181,M181,O181)</f>
        <v>0</v>
      </c>
    </row>
    <row r="182" customFormat="false" ht="14.25" hidden="false" customHeight="false" outlineLevel="0" collapsed="false">
      <c r="A182" s="7" t="s">
        <v>434</v>
      </c>
      <c r="B182" s="2" t="s">
        <v>432</v>
      </c>
      <c r="C182" s="2" t="s">
        <v>419</v>
      </c>
      <c r="D182" s="2" t="n">
        <f aca="false">SUM(E182,G182,I182,K182,M182,O182)</f>
        <v>0</v>
      </c>
      <c r="E182" s="1" t="n">
        <v>0</v>
      </c>
      <c r="F182" s="2" t="s">
        <v>239</v>
      </c>
      <c r="G182" s="1" t="n">
        <v>0</v>
      </c>
      <c r="H182" s="2" t="s">
        <v>239</v>
      </c>
      <c r="I182" s="1" t="n">
        <v>0</v>
      </c>
      <c r="J182" s="2" t="s">
        <v>239</v>
      </c>
      <c r="K182" s="1" t="n">
        <v>0</v>
      </c>
      <c r="L182" s="2" t="s">
        <v>239</v>
      </c>
      <c r="M182" s="1" t="n">
        <v>0</v>
      </c>
      <c r="N182" s="2" t="s">
        <v>239</v>
      </c>
      <c r="O182" s="1" t="n">
        <v>0</v>
      </c>
      <c r="P182" s="2" t="s">
        <v>239</v>
      </c>
    </row>
    <row r="183" customFormat="false" ht="14.25" hidden="false" customHeight="false" outlineLevel="0" collapsed="false">
      <c r="A183" s="7" t="s">
        <v>435</v>
      </c>
      <c r="B183" s="2" t="s">
        <v>432</v>
      </c>
      <c r="C183" s="2" t="s">
        <v>419</v>
      </c>
      <c r="D183" s="2" t="n">
        <f aca="false">SUM(E183,G183,I183,K183,M183,O183)</f>
        <v>0</v>
      </c>
    </row>
    <row r="184" customFormat="false" ht="14.25" hidden="false" customHeight="false" outlineLevel="0" collapsed="false">
      <c r="A184" s="7" t="s">
        <v>436</v>
      </c>
      <c r="B184" s="2" t="s">
        <v>432</v>
      </c>
      <c r="C184" s="2" t="s">
        <v>419</v>
      </c>
      <c r="D184" s="2" t="n">
        <f aca="false">SUM(E184,G184,I184,K184,M184,O184)</f>
        <v>0</v>
      </c>
    </row>
    <row r="185" customFormat="false" ht="14.25" hidden="false" customHeight="false" outlineLevel="0" collapsed="false">
      <c r="A185" s="7" t="s">
        <v>437</v>
      </c>
      <c r="B185" s="2" t="s">
        <v>432</v>
      </c>
      <c r="C185" s="2" t="s">
        <v>419</v>
      </c>
      <c r="D185" s="2" t="n">
        <f aca="false">SUM(E185,G185,I185,K185,M185,O185)</f>
        <v>0</v>
      </c>
    </row>
    <row r="186" customFormat="false" ht="14.25" hidden="false" customHeight="false" outlineLevel="0" collapsed="false">
      <c r="A186" s="7" t="s">
        <v>438</v>
      </c>
      <c r="B186" s="2" t="s">
        <v>432</v>
      </c>
      <c r="C186" s="2" t="s">
        <v>419</v>
      </c>
      <c r="D186" s="2" t="n">
        <f aca="false">SUM(E186,G186,I186,K186,M186,O186)</f>
        <v>0</v>
      </c>
    </row>
    <row r="187" customFormat="false" ht="14.25" hidden="false" customHeight="false" outlineLevel="0" collapsed="false">
      <c r="A187" s="7" t="s">
        <v>439</v>
      </c>
      <c r="B187" s="2" t="s">
        <v>432</v>
      </c>
      <c r="C187" s="2" t="s">
        <v>419</v>
      </c>
      <c r="D187" s="2" t="n">
        <f aca="false">SUM(E187,G187,I187,K187,M187,O187)</f>
        <v>0</v>
      </c>
    </row>
    <row r="188" customFormat="false" ht="14.25" hidden="false" customHeight="false" outlineLevel="0" collapsed="false">
      <c r="A188" s="7" t="s">
        <v>51</v>
      </c>
      <c r="B188" s="2" t="s">
        <v>440</v>
      </c>
      <c r="C188" s="2" t="s">
        <v>441</v>
      </c>
      <c r="D188" s="2" t="n">
        <f aca="false">SUM(E188,G188,I188,K188,M188,O188)</f>
        <v>1</v>
      </c>
      <c r="K188" s="1" t="n">
        <v>1</v>
      </c>
      <c r="L188" s="2" t="s">
        <v>429</v>
      </c>
    </row>
    <row r="189" customFormat="false" ht="14.25" hidden="false" customHeight="false" outlineLevel="0" collapsed="false">
      <c r="A189" s="7" t="s">
        <v>442</v>
      </c>
      <c r="B189" s="2" t="s">
        <v>440</v>
      </c>
      <c r="C189" s="2" t="s">
        <v>443</v>
      </c>
      <c r="D189" s="2" t="n">
        <f aca="false">SUM(E189,G189,I189,K189,M189,O189)</f>
        <v>1</v>
      </c>
      <c r="O189" s="1" t="n">
        <v>1</v>
      </c>
      <c r="P189" s="2" t="s">
        <v>225</v>
      </c>
    </row>
    <row r="190" customFormat="false" ht="14.25" hidden="false" customHeight="false" outlineLevel="0" collapsed="false">
      <c r="A190" s="7" t="s">
        <v>444</v>
      </c>
      <c r="B190" s="2" t="s">
        <v>440</v>
      </c>
      <c r="C190" s="2" t="s">
        <v>443</v>
      </c>
      <c r="D190" s="2" t="n">
        <f aca="false">SUM(E190,G190,I190,K190,M190,O190)</f>
        <v>0</v>
      </c>
      <c r="E190" s="1" t="n">
        <v>0</v>
      </c>
      <c r="F190" s="2" t="s">
        <v>239</v>
      </c>
      <c r="G190" s="1" t="n">
        <v>0</v>
      </c>
      <c r="H190" s="2" t="s">
        <v>239</v>
      </c>
      <c r="I190" s="1" t="n">
        <v>0</v>
      </c>
      <c r="J190" s="2" t="s">
        <v>239</v>
      </c>
      <c r="K190" s="1" t="n">
        <v>0</v>
      </c>
      <c r="L190" s="2" t="s">
        <v>445</v>
      </c>
      <c r="M190" s="1" t="n">
        <v>0</v>
      </c>
      <c r="N190" s="2" t="s">
        <v>239</v>
      </c>
      <c r="O190" s="1" t="n">
        <v>0</v>
      </c>
      <c r="P190" s="2" t="s">
        <v>239</v>
      </c>
    </row>
    <row r="191" customFormat="false" ht="14.25" hidden="false" customHeight="false" outlineLevel="0" collapsed="false">
      <c r="A191" s="7" t="s">
        <v>446</v>
      </c>
      <c r="B191" s="2" t="s">
        <v>440</v>
      </c>
      <c r="C191" s="2" t="s">
        <v>441</v>
      </c>
      <c r="D191" s="2" t="n">
        <f aca="false">SUM(E191,G191,I191,K191,M191,O191)</f>
        <v>2</v>
      </c>
      <c r="G191" s="1" t="n">
        <v>1</v>
      </c>
      <c r="H191" s="2" t="s">
        <v>214</v>
      </c>
      <c r="K191" s="1" t="n">
        <v>1</v>
      </c>
      <c r="L191" s="2" t="s">
        <v>429</v>
      </c>
    </row>
    <row r="192" customFormat="false" ht="14.25" hidden="false" customHeight="false" outlineLevel="0" collapsed="false">
      <c r="A192" s="7" t="s">
        <v>45</v>
      </c>
      <c r="B192" s="2" t="s">
        <v>440</v>
      </c>
      <c r="C192" s="2" t="s">
        <v>443</v>
      </c>
      <c r="D192" s="2" t="n">
        <f aca="false">SUM(E192,G192,I192,K192,M192,O192)</f>
        <v>0</v>
      </c>
      <c r="E192" s="1" t="n">
        <v>0</v>
      </c>
      <c r="F192" s="2" t="s">
        <v>239</v>
      </c>
      <c r="G192" s="1" t="n">
        <v>0</v>
      </c>
      <c r="H192" s="2" t="s">
        <v>239</v>
      </c>
      <c r="I192" s="1" t="n">
        <v>0</v>
      </c>
      <c r="J192" s="2" t="s">
        <v>239</v>
      </c>
      <c r="K192" s="1" t="n">
        <v>0</v>
      </c>
      <c r="L192" s="2" t="s">
        <v>445</v>
      </c>
      <c r="M192" s="1" t="n">
        <v>0</v>
      </c>
      <c r="N192" s="2" t="s">
        <v>239</v>
      </c>
      <c r="O192" s="1" t="n">
        <v>0</v>
      </c>
      <c r="P192" s="2" t="s">
        <v>239</v>
      </c>
    </row>
    <row r="193" customFormat="false" ht="14.25" hidden="false" customHeight="false" outlineLevel="0" collapsed="false">
      <c r="A193" s="7" t="s">
        <v>447</v>
      </c>
      <c r="B193" s="2" t="s">
        <v>440</v>
      </c>
      <c r="C193" s="2" t="s">
        <v>448</v>
      </c>
      <c r="D193" s="2" t="n">
        <f aca="false">SUM(E193,G193,I193,K193,M193,O193)</f>
        <v>1</v>
      </c>
      <c r="G193" s="1" t="n">
        <v>1</v>
      </c>
      <c r="H193" s="2" t="s">
        <v>208</v>
      </c>
    </row>
    <row r="194" customFormat="false" ht="14.25" hidden="false" customHeight="false" outlineLevel="0" collapsed="false">
      <c r="A194" s="7" t="s">
        <v>449</v>
      </c>
      <c r="B194" s="2" t="s">
        <v>440</v>
      </c>
      <c r="C194" s="2" t="s">
        <v>441</v>
      </c>
      <c r="D194" s="2" t="n">
        <f aca="false">SUM(E194,G194,I194,K194,M194,O194)</f>
        <v>1</v>
      </c>
      <c r="K194" s="1" t="n">
        <v>1</v>
      </c>
      <c r="L194" s="2" t="s">
        <v>429</v>
      </c>
    </row>
    <row r="195" customFormat="false" ht="14.25" hidden="false" customHeight="false" outlineLevel="0" collapsed="false">
      <c r="A195" s="7" t="s">
        <v>450</v>
      </c>
      <c r="B195" s="2" t="s">
        <v>440</v>
      </c>
      <c r="C195" s="2" t="s">
        <v>451</v>
      </c>
      <c r="D195" s="2" t="n">
        <f aca="false">SUM(E195,G195,I195,K195,M195,O195)</f>
        <v>2</v>
      </c>
      <c r="G195" s="1" t="n">
        <v>1</v>
      </c>
      <c r="H195" s="2" t="s">
        <v>452</v>
      </c>
      <c r="K195" s="1" t="n">
        <v>1</v>
      </c>
      <c r="L195" s="1" t="s">
        <v>453</v>
      </c>
    </row>
    <row r="196" customFormat="false" ht="14.25" hidden="false" customHeight="false" outlineLevel="0" collapsed="false">
      <c r="A196" s="7" t="s">
        <v>454</v>
      </c>
      <c r="B196" s="2" t="s">
        <v>440</v>
      </c>
      <c r="C196" s="2" t="s">
        <v>441</v>
      </c>
      <c r="D196" s="2" t="n">
        <f aca="false">SUM(E196,G196,I196,K196,M196,O196)</f>
        <v>4</v>
      </c>
      <c r="E196" s="1" t="n">
        <v>1</v>
      </c>
      <c r="F196" s="1" t="s">
        <v>455</v>
      </c>
      <c r="G196" s="1" t="n">
        <v>1</v>
      </c>
      <c r="H196" s="2" t="s">
        <v>456</v>
      </c>
      <c r="K196" s="1" t="n">
        <v>1</v>
      </c>
      <c r="L196" s="2" t="s">
        <v>429</v>
      </c>
      <c r="O196" s="1" t="n">
        <v>1</v>
      </c>
      <c r="P196" s="2" t="s">
        <v>214</v>
      </c>
    </row>
    <row r="197" customFormat="false" ht="14.25" hidden="false" customHeight="false" outlineLevel="0" collapsed="false">
      <c r="A197" s="7" t="s">
        <v>457</v>
      </c>
      <c r="B197" s="2" t="s">
        <v>440</v>
      </c>
      <c r="C197" s="2" t="s">
        <v>458</v>
      </c>
      <c r="D197" s="2" t="n">
        <f aca="false">SUM(E197,G197,I197,K197,M197,O197)</f>
        <v>2</v>
      </c>
      <c r="G197" s="1" t="n">
        <v>1</v>
      </c>
      <c r="H197" s="2" t="s">
        <v>316</v>
      </c>
      <c r="O197" s="1" t="n">
        <v>1</v>
      </c>
      <c r="P197" s="2" t="s">
        <v>236</v>
      </c>
    </row>
    <row r="198" customFormat="false" ht="14.25" hidden="false" customHeight="false" outlineLevel="0" collapsed="false">
      <c r="A198" s="7" t="s">
        <v>459</v>
      </c>
      <c r="B198" s="2" t="s">
        <v>440</v>
      </c>
      <c r="C198" s="2" t="s">
        <v>443</v>
      </c>
      <c r="D198" s="2" t="n">
        <f aca="false">SUM(E198,G198,I198,K198,M198,O198)</f>
        <v>0</v>
      </c>
      <c r="E198" s="1" t="n">
        <v>0</v>
      </c>
      <c r="F198" s="2" t="s">
        <v>239</v>
      </c>
      <c r="G198" s="1" t="n">
        <v>0</v>
      </c>
      <c r="H198" s="2" t="s">
        <v>239</v>
      </c>
      <c r="I198" s="1" t="n">
        <v>0</v>
      </c>
      <c r="J198" s="2" t="s">
        <v>239</v>
      </c>
      <c r="K198" s="1" t="n">
        <v>0</v>
      </c>
      <c r="L198" s="2" t="s">
        <v>239</v>
      </c>
      <c r="M198" s="1" t="n">
        <v>0</v>
      </c>
      <c r="N198" s="2" t="s">
        <v>239</v>
      </c>
      <c r="O198" s="1" t="n">
        <v>0</v>
      </c>
      <c r="P198" s="2" t="s">
        <v>239</v>
      </c>
    </row>
    <row r="199" customFormat="false" ht="14.25" hidden="false" customHeight="false" outlineLevel="0" collapsed="false">
      <c r="A199" s="7" t="s">
        <v>460</v>
      </c>
      <c r="B199" s="2" t="s">
        <v>440</v>
      </c>
      <c r="C199" s="2" t="s">
        <v>441</v>
      </c>
      <c r="D199" s="2" t="n">
        <f aca="false">SUM(E199,G199,I199,K199,M199,O199)</f>
        <v>2</v>
      </c>
      <c r="K199" s="1" t="n">
        <v>1</v>
      </c>
      <c r="L199" s="2" t="s">
        <v>429</v>
      </c>
      <c r="O199" s="1" t="n">
        <v>1</v>
      </c>
      <c r="P199" s="2" t="s">
        <v>225</v>
      </c>
    </row>
    <row r="200" customFormat="false" ht="14.25" hidden="false" customHeight="false" outlineLevel="0" collapsed="false">
      <c r="A200" s="7" t="s">
        <v>461</v>
      </c>
      <c r="B200" s="2" t="s">
        <v>440</v>
      </c>
      <c r="C200" s="2" t="s">
        <v>451</v>
      </c>
      <c r="D200" s="2" t="n">
        <f aca="false">SUM(E200,G200,I200,K200,M200,O200)</f>
        <v>3</v>
      </c>
      <c r="E200" s="1" t="n">
        <v>1</v>
      </c>
      <c r="F200" s="2" t="s">
        <v>254</v>
      </c>
      <c r="G200" s="1" t="n">
        <v>1</v>
      </c>
      <c r="H200" s="2" t="s">
        <v>257</v>
      </c>
      <c r="K200" s="1" t="n">
        <v>1</v>
      </c>
      <c r="L200" s="2" t="s">
        <v>462</v>
      </c>
    </row>
    <row r="201" customFormat="false" ht="14.25" hidden="false" customHeight="false" outlineLevel="0" collapsed="false">
      <c r="A201" s="7" t="s">
        <v>463</v>
      </c>
      <c r="B201" s="2" t="s">
        <v>440</v>
      </c>
      <c r="C201" s="2" t="s">
        <v>441</v>
      </c>
      <c r="D201" s="2" t="n">
        <f aca="false">SUM(E201,G201,I201,K201,M201,O201)</f>
        <v>1</v>
      </c>
      <c r="K201" s="1" t="n">
        <v>1</v>
      </c>
      <c r="L201" s="2" t="s">
        <v>429</v>
      </c>
    </row>
    <row r="202" customFormat="false" ht="14.25" hidden="false" customHeight="false" outlineLevel="0" collapsed="false">
      <c r="A202" s="7" t="s">
        <v>464</v>
      </c>
      <c r="B202" s="2" t="s">
        <v>440</v>
      </c>
      <c r="C202" s="2" t="s">
        <v>465</v>
      </c>
      <c r="D202" s="2" t="n">
        <f aca="false">SUM(E202,G202,I202,K202,M202,O202)</f>
        <v>1</v>
      </c>
      <c r="O202" s="1" t="n">
        <v>1</v>
      </c>
      <c r="P202" s="2" t="s">
        <v>466</v>
      </c>
    </row>
    <row r="203" customFormat="false" ht="14.25" hidden="false" customHeight="false" outlineLevel="0" collapsed="false">
      <c r="A203" s="7" t="s">
        <v>467</v>
      </c>
      <c r="B203" s="2" t="s">
        <v>468</v>
      </c>
      <c r="C203" s="2" t="s">
        <v>419</v>
      </c>
      <c r="D203" s="2" t="n">
        <f aca="false">SUM(E203,G203,I203,K203,M203,O203)</f>
        <v>0</v>
      </c>
    </row>
    <row r="204" customFormat="false" ht="14.25" hidden="false" customHeight="false" outlineLevel="0" collapsed="false">
      <c r="A204" s="7" t="s">
        <v>469</v>
      </c>
      <c r="B204" s="2" t="s">
        <v>468</v>
      </c>
      <c r="C204" s="2" t="s">
        <v>419</v>
      </c>
      <c r="D204" s="2" t="n">
        <f aca="false">SUM(E204,G204,I204,K204,M204,O204)</f>
        <v>0</v>
      </c>
    </row>
    <row r="205" customFormat="false" ht="14.25" hidden="false" customHeight="false" outlineLevel="0" collapsed="false">
      <c r="A205" s="7" t="s">
        <v>236</v>
      </c>
      <c r="B205" s="2" t="s">
        <v>468</v>
      </c>
      <c r="C205" s="2" t="s">
        <v>419</v>
      </c>
      <c r="D205" s="2" t="n">
        <f aca="false">SUM(E205,G205,I205,K205,M205,O205)</f>
        <v>0</v>
      </c>
    </row>
    <row r="206" customFormat="false" ht="14.25" hidden="false" customHeight="false" outlineLevel="0" collapsed="false">
      <c r="A206" s="7" t="s">
        <v>470</v>
      </c>
      <c r="B206" s="2" t="s">
        <v>471</v>
      </c>
      <c r="C206" s="2" t="s">
        <v>472</v>
      </c>
      <c r="D206" s="2" t="n">
        <f aca="false">SUM(E206,G206,I206,K206,M206,O206)</f>
        <v>1</v>
      </c>
      <c r="O206" s="1" t="n">
        <v>1</v>
      </c>
      <c r="P206" s="2" t="s">
        <v>466</v>
      </c>
    </row>
    <row r="207" customFormat="false" ht="14.25" hidden="false" customHeight="false" outlineLevel="0" collapsed="false">
      <c r="A207" s="7" t="s">
        <v>473</v>
      </c>
      <c r="B207" s="2" t="s">
        <v>471</v>
      </c>
      <c r="C207" s="2" t="s">
        <v>474</v>
      </c>
      <c r="D207" s="2" t="n">
        <f aca="false">SUM(E207,G207,I207,K207,M207,O207)</f>
        <v>1</v>
      </c>
      <c r="K207" s="1" t="n">
        <v>1</v>
      </c>
      <c r="L207" s="2" t="s">
        <v>236</v>
      </c>
    </row>
    <row r="208" customFormat="false" ht="14.25" hidden="false" customHeight="false" outlineLevel="0" collapsed="false">
      <c r="A208" s="7" t="s">
        <v>475</v>
      </c>
      <c r="B208" s="2" t="s">
        <v>471</v>
      </c>
      <c r="C208" s="2" t="s">
        <v>476</v>
      </c>
      <c r="D208" s="2" t="n">
        <f aca="false">SUM(E208,G208,I208,K208,M208,O208)</f>
        <v>0</v>
      </c>
    </row>
    <row r="209" customFormat="false" ht="14.25" hidden="false" customHeight="false" outlineLevel="0" collapsed="false">
      <c r="A209" s="7" t="s">
        <v>477</v>
      </c>
      <c r="B209" s="2" t="s">
        <v>471</v>
      </c>
      <c r="C209" s="2" t="s">
        <v>476</v>
      </c>
      <c r="D209" s="2" t="n">
        <f aca="false">SUM(E209,G209,I209,K209,M209,O209)</f>
        <v>1</v>
      </c>
      <c r="O209" s="1" t="n">
        <v>1</v>
      </c>
      <c r="P209" s="2" t="s">
        <v>478</v>
      </c>
    </row>
    <row r="210" customFormat="false" ht="14.25" hidden="false" customHeight="false" outlineLevel="0" collapsed="false">
      <c r="A210" s="7" t="s">
        <v>467</v>
      </c>
      <c r="B210" s="2" t="s">
        <v>471</v>
      </c>
      <c r="C210" s="2" t="s">
        <v>476</v>
      </c>
      <c r="D210" s="2" t="n">
        <f aca="false">SUM(E210,G210,I210,K210,M210,O210)</f>
        <v>0</v>
      </c>
    </row>
    <row r="211" customFormat="false" ht="14.25" hidden="false" customHeight="false" outlineLevel="0" collapsed="false">
      <c r="A211" s="7" t="s">
        <v>479</v>
      </c>
      <c r="B211" s="2" t="s">
        <v>471</v>
      </c>
      <c r="C211" s="2" t="s">
        <v>474</v>
      </c>
      <c r="D211" s="2" t="n">
        <f aca="false">SUM(E211,G211,I211,K211,M211,O211)</f>
        <v>0</v>
      </c>
      <c r="E211" s="1" t="n">
        <v>0</v>
      </c>
      <c r="F211" s="2" t="s">
        <v>239</v>
      </c>
      <c r="G211" s="1" t="n">
        <v>0</v>
      </c>
      <c r="H211" s="2" t="s">
        <v>239</v>
      </c>
      <c r="I211" s="1" t="n">
        <v>0</v>
      </c>
      <c r="J211" s="2" t="s">
        <v>239</v>
      </c>
      <c r="K211" s="1" t="n">
        <v>0</v>
      </c>
      <c r="L211" s="2" t="s">
        <v>239</v>
      </c>
      <c r="M211" s="1" t="n">
        <v>0</v>
      </c>
      <c r="N211" s="2" t="s">
        <v>239</v>
      </c>
      <c r="O211" s="1" t="n">
        <v>0</v>
      </c>
      <c r="P211" s="2" t="s">
        <v>239</v>
      </c>
    </row>
    <row r="212" customFormat="false" ht="14.25" hidden="false" customHeight="false" outlineLevel="0" collapsed="false">
      <c r="A212" s="7" t="s">
        <v>480</v>
      </c>
      <c r="B212" s="2" t="s">
        <v>471</v>
      </c>
      <c r="C212" s="2" t="s">
        <v>476</v>
      </c>
      <c r="D212" s="2" t="n">
        <f aca="false">SUM(E212,G212,I212,K212,M212,O212)</f>
        <v>0</v>
      </c>
    </row>
    <row r="213" customFormat="false" ht="14.25" hidden="false" customHeight="false" outlineLevel="0" collapsed="false">
      <c r="A213" s="7" t="s">
        <v>481</v>
      </c>
      <c r="B213" s="2" t="s">
        <v>471</v>
      </c>
      <c r="C213" s="2" t="s">
        <v>474</v>
      </c>
      <c r="D213" s="2" t="n">
        <f aca="false">SUM(E213,G213,I213,K213,M213,O213)</f>
        <v>0</v>
      </c>
    </row>
    <row r="214" customFormat="false" ht="14.25" hidden="false" customHeight="false" outlineLevel="0" collapsed="false">
      <c r="A214" s="7" t="s">
        <v>482</v>
      </c>
      <c r="B214" s="2" t="s">
        <v>471</v>
      </c>
      <c r="C214" s="2" t="s">
        <v>476</v>
      </c>
      <c r="D214" s="2" t="n">
        <f aca="false">SUM(E214,G214,I214,K214,M214,O214)</f>
        <v>2</v>
      </c>
      <c r="M214" s="1" t="n">
        <v>1</v>
      </c>
      <c r="N214" s="2" t="s">
        <v>242</v>
      </c>
      <c r="O214" s="1" t="n">
        <v>1</v>
      </c>
      <c r="P214" s="2" t="s">
        <v>306</v>
      </c>
    </row>
    <row r="215" customFormat="false" ht="14.25" hidden="false" customHeight="false" outlineLevel="0" collapsed="false">
      <c r="A215" s="7" t="s">
        <v>483</v>
      </c>
      <c r="B215" s="2" t="s">
        <v>471</v>
      </c>
      <c r="C215" s="2" t="s">
        <v>476</v>
      </c>
      <c r="D215" s="2" t="n">
        <f aca="false">SUM(E215,G215,I215,K215,M215,O215)</f>
        <v>2</v>
      </c>
      <c r="K215" s="1" t="n">
        <v>1</v>
      </c>
      <c r="L215" s="2" t="s">
        <v>484</v>
      </c>
      <c r="O215" s="1" t="n">
        <v>1</v>
      </c>
      <c r="P215" s="2" t="s">
        <v>485</v>
      </c>
    </row>
    <row r="216" customFormat="false" ht="14.25" hidden="false" customHeight="false" outlineLevel="0" collapsed="false">
      <c r="A216" s="7" t="s">
        <v>486</v>
      </c>
      <c r="B216" s="2" t="s">
        <v>471</v>
      </c>
      <c r="C216" s="2" t="s">
        <v>474</v>
      </c>
      <c r="D216" s="2" t="n">
        <f aca="false">SUM(E216,G216,I216,K216,M216,O216)</f>
        <v>1</v>
      </c>
      <c r="K216" s="1" t="n">
        <v>1</v>
      </c>
      <c r="L216" s="2" t="s">
        <v>236</v>
      </c>
    </row>
    <row r="217" customFormat="false" ht="14.25" hidden="false" customHeight="false" outlineLevel="0" collapsed="false">
      <c r="A217" s="7" t="s">
        <v>487</v>
      </c>
      <c r="B217" s="2" t="s">
        <v>471</v>
      </c>
      <c r="C217" s="2" t="s">
        <v>476</v>
      </c>
      <c r="D217" s="2" t="n">
        <f aca="false">SUM(E217,G217,I217,K217,M217,O217)</f>
        <v>2</v>
      </c>
      <c r="E217" s="1" t="n">
        <v>1</v>
      </c>
      <c r="F217" s="2" t="s">
        <v>208</v>
      </c>
      <c r="G217" s="1" t="n">
        <v>1</v>
      </c>
      <c r="H217" s="2" t="s">
        <v>208</v>
      </c>
    </row>
    <row r="218" customFormat="false" ht="14.25" hidden="false" customHeight="false" outlineLevel="0" collapsed="false">
      <c r="A218" s="7" t="s">
        <v>488</v>
      </c>
      <c r="B218" s="2" t="s">
        <v>471</v>
      </c>
      <c r="C218" s="2" t="s">
        <v>476</v>
      </c>
      <c r="D218" s="2" t="n">
        <f aca="false">SUM(E218,G218,I218,K218,M218,O218)</f>
        <v>0</v>
      </c>
    </row>
    <row r="219" customFormat="false" ht="14.25" hidden="false" customHeight="false" outlineLevel="0" collapsed="false">
      <c r="A219" s="7" t="s">
        <v>489</v>
      </c>
      <c r="B219" s="2" t="s">
        <v>471</v>
      </c>
      <c r="C219" s="2" t="s">
        <v>476</v>
      </c>
      <c r="D219" s="2" t="n">
        <f aca="false">SUM(E219,G219,I219,K219,M219,O219)</f>
        <v>0</v>
      </c>
    </row>
    <row r="220" customFormat="false" ht="14.25" hidden="false" customHeight="false" outlineLevel="0" collapsed="false">
      <c r="A220" s="7" t="s">
        <v>490</v>
      </c>
      <c r="B220" s="2" t="s">
        <v>471</v>
      </c>
      <c r="C220" s="2" t="s">
        <v>491</v>
      </c>
      <c r="D220" s="2" t="n">
        <f aca="false">SUM(E220,G220,I220,K220,M220,O220)</f>
        <v>0</v>
      </c>
    </row>
    <row r="221" customFormat="false" ht="14.25" hidden="false" customHeight="false" outlineLevel="0" collapsed="false">
      <c r="A221" s="7" t="s">
        <v>492</v>
      </c>
      <c r="B221" s="2" t="s">
        <v>471</v>
      </c>
      <c r="C221" s="2" t="s">
        <v>476</v>
      </c>
      <c r="D221" s="2" t="n">
        <f aca="false">SUM(E221,G221,I221,K221,M221,O221)</f>
        <v>1</v>
      </c>
      <c r="K221" s="1" t="n">
        <v>1</v>
      </c>
      <c r="L221" s="2" t="s">
        <v>293</v>
      </c>
    </row>
    <row r="222" customFormat="false" ht="14.25" hidden="false" customHeight="false" outlineLevel="0" collapsed="false">
      <c r="A222" s="7" t="s">
        <v>493</v>
      </c>
      <c r="B222" s="2" t="s">
        <v>471</v>
      </c>
      <c r="C222" s="2" t="s">
        <v>474</v>
      </c>
      <c r="D222" s="2" t="n">
        <f aca="false">SUM(E222,G222,I222,K222,M222,O222)</f>
        <v>1</v>
      </c>
      <c r="K222" s="1" t="n">
        <v>1</v>
      </c>
      <c r="L222" s="2" t="s">
        <v>242</v>
      </c>
    </row>
    <row r="223" customFormat="false" ht="14.25" hidden="false" customHeight="false" outlineLevel="0" collapsed="false">
      <c r="A223" s="7" t="s">
        <v>222</v>
      </c>
      <c r="B223" s="2" t="s">
        <v>471</v>
      </c>
      <c r="C223" s="2" t="s">
        <v>494</v>
      </c>
      <c r="D223" s="2" t="n">
        <f aca="false">SUM(E223,G223,I223,K223,M223,O223)</f>
        <v>1</v>
      </c>
      <c r="K223" s="1" t="n">
        <v>1</v>
      </c>
      <c r="L223" s="2" t="s">
        <v>495</v>
      </c>
    </row>
    <row r="224" customFormat="false" ht="14.25" hidden="false" customHeight="false" outlineLevel="0" collapsed="false">
      <c r="A224" s="7" t="s">
        <v>496</v>
      </c>
      <c r="B224" s="2" t="s">
        <v>471</v>
      </c>
      <c r="C224" s="2" t="s">
        <v>474</v>
      </c>
      <c r="D224" s="2" t="n">
        <f aca="false">SUM(E224,G224,I224,K224,M224,O224)</f>
        <v>1</v>
      </c>
      <c r="K224" s="1" t="n">
        <v>1</v>
      </c>
      <c r="L224" s="2" t="s">
        <v>279</v>
      </c>
    </row>
    <row r="225" customFormat="false" ht="14.25" hidden="false" customHeight="false" outlineLevel="0" collapsed="false">
      <c r="A225" s="7" t="s">
        <v>497</v>
      </c>
      <c r="B225" s="2" t="s">
        <v>471</v>
      </c>
      <c r="C225" s="2" t="s">
        <v>476</v>
      </c>
      <c r="D225" s="2" t="n">
        <f aca="false">SUM(E225,G225,I225,K225,M225,O225)</f>
        <v>1</v>
      </c>
      <c r="K225" s="1" t="n">
        <v>1</v>
      </c>
      <c r="L225" s="2" t="s">
        <v>498</v>
      </c>
    </row>
    <row r="226" customFormat="false" ht="14.25" hidden="false" customHeight="false" outlineLevel="0" collapsed="false">
      <c r="A226" s="7" t="s">
        <v>499</v>
      </c>
      <c r="B226" s="2" t="s">
        <v>471</v>
      </c>
      <c r="C226" s="2" t="s">
        <v>474</v>
      </c>
      <c r="D226" s="2" t="n">
        <f aca="false">SUM(E226,G226,I226,K226,M226,O226)</f>
        <v>2</v>
      </c>
      <c r="E226" s="1" t="n">
        <v>1</v>
      </c>
      <c r="F226" s="1" t="s">
        <v>225</v>
      </c>
      <c r="K226" s="1" t="n">
        <v>1</v>
      </c>
      <c r="L226" s="2" t="s">
        <v>242</v>
      </c>
    </row>
    <row r="227" customFormat="false" ht="14.25" hidden="false" customHeight="false" outlineLevel="0" collapsed="false">
      <c r="A227" s="7" t="s">
        <v>500</v>
      </c>
      <c r="B227" s="2" t="s">
        <v>471</v>
      </c>
      <c r="C227" s="2" t="s">
        <v>476</v>
      </c>
      <c r="D227" s="2" t="n">
        <f aca="false">SUM(E227,G227,I227,K227,M227,O227)</f>
        <v>0</v>
      </c>
    </row>
    <row r="228" customFormat="false" ht="14.25" hidden="false" customHeight="false" outlineLevel="0" collapsed="false">
      <c r="A228" s="7" t="s">
        <v>501</v>
      </c>
      <c r="B228" s="2" t="s">
        <v>471</v>
      </c>
      <c r="C228" s="2" t="s">
        <v>474</v>
      </c>
      <c r="D228" s="2" t="n">
        <f aca="false">SUM(E228,G228,I228,K228,M228,O228)</f>
        <v>0</v>
      </c>
    </row>
    <row r="229" customFormat="false" ht="14.25" hidden="false" customHeight="false" outlineLevel="0" collapsed="false">
      <c r="A229" s="7" t="s">
        <v>502</v>
      </c>
      <c r="B229" s="2" t="s">
        <v>471</v>
      </c>
      <c r="C229" s="2" t="s">
        <v>491</v>
      </c>
      <c r="D229" s="2" t="n">
        <f aca="false">SUM(E229,G229,I229,K229,M229,O229)</f>
        <v>0</v>
      </c>
    </row>
    <row r="230" customFormat="false" ht="14.25" hidden="false" customHeight="false" outlineLevel="0" collapsed="false">
      <c r="A230" s="7" t="s">
        <v>221</v>
      </c>
      <c r="B230" s="2" t="s">
        <v>471</v>
      </c>
      <c r="C230" s="2" t="s">
        <v>503</v>
      </c>
      <c r="D230" s="2" t="n">
        <f aca="false">SUM(E230,G230,I230,K230,M230,O230)</f>
        <v>1</v>
      </c>
      <c r="O230" s="1" t="n">
        <v>1</v>
      </c>
      <c r="P230" s="2" t="s">
        <v>466</v>
      </c>
    </row>
    <row r="231" customFormat="false" ht="14.25" hidden="false" customHeight="false" outlineLevel="0" collapsed="false">
      <c r="A231" s="7" t="s">
        <v>504</v>
      </c>
      <c r="B231" s="2" t="s">
        <v>471</v>
      </c>
      <c r="C231" s="2" t="s">
        <v>474</v>
      </c>
      <c r="D231" s="2" t="n">
        <f aca="false">SUM(E231,G231,I231,K231,M231,O231)</f>
        <v>0</v>
      </c>
    </row>
    <row r="232" customFormat="false" ht="14.25" hidden="false" customHeight="false" outlineLevel="0" collapsed="false">
      <c r="A232" s="7" t="s">
        <v>505</v>
      </c>
      <c r="B232" s="2" t="s">
        <v>471</v>
      </c>
      <c r="C232" s="2" t="s">
        <v>474</v>
      </c>
      <c r="D232" s="2" t="n">
        <f aca="false">SUM(E232,G232,I232,K232,M232,O232)</f>
        <v>3</v>
      </c>
      <c r="E232" s="1" t="n">
        <v>1</v>
      </c>
      <c r="F232" s="1" t="s">
        <v>316</v>
      </c>
      <c r="M232" s="1" t="n">
        <v>1</v>
      </c>
      <c r="N232" s="2" t="s">
        <v>316</v>
      </c>
      <c r="O232" s="1" t="n">
        <v>1</v>
      </c>
      <c r="P232" s="2" t="s">
        <v>316</v>
      </c>
    </row>
    <row r="233" customFormat="false" ht="14.25" hidden="false" customHeight="false" outlineLevel="0" collapsed="false">
      <c r="A233" s="7" t="s">
        <v>506</v>
      </c>
      <c r="B233" s="2" t="s">
        <v>471</v>
      </c>
      <c r="C233" s="2" t="s">
        <v>476</v>
      </c>
      <c r="D233" s="2" t="n">
        <f aca="false">SUM(E233,G233,I233,K233,M233,O233)</f>
        <v>0</v>
      </c>
    </row>
    <row r="234" customFormat="false" ht="14.25" hidden="false" customHeight="false" outlineLevel="0" collapsed="false">
      <c r="A234" s="7" t="s">
        <v>507</v>
      </c>
      <c r="B234" s="2" t="s">
        <v>471</v>
      </c>
      <c r="C234" s="2" t="s">
        <v>474</v>
      </c>
      <c r="D234" s="2" t="n">
        <f aca="false">SUM(E234,G234,I234,K234,M234,O234)</f>
        <v>3</v>
      </c>
      <c r="E234" s="1" t="n">
        <v>1</v>
      </c>
      <c r="F234" s="1" t="s">
        <v>316</v>
      </c>
      <c r="M234" s="1" t="n">
        <v>1</v>
      </c>
      <c r="N234" s="2" t="s">
        <v>316</v>
      </c>
      <c r="O234" s="1" t="n">
        <v>1</v>
      </c>
      <c r="P234" s="2" t="s">
        <v>316</v>
      </c>
    </row>
    <row r="235" customFormat="false" ht="14.25" hidden="false" customHeight="false" outlineLevel="0" collapsed="false">
      <c r="A235" s="7" t="s">
        <v>508</v>
      </c>
      <c r="B235" s="2" t="s">
        <v>471</v>
      </c>
      <c r="C235" s="2" t="s">
        <v>509</v>
      </c>
      <c r="D235" s="2" t="n">
        <f aca="false">SUM(E235,G235,I235,K235,M235,O235)</f>
        <v>3</v>
      </c>
      <c r="E235" s="1" t="n">
        <v>1</v>
      </c>
      <c r="F235" s="2" t="s">
        <v>228</v>
      </c>
      <c r="G235" s="1" t="n">
        <v>1</v>
      </c>
      <c r="H235" s="2" t="s">
        <v>228</v>
      </c>
      <c r="I235" s="1" t="n">
        <v>1</v>
      </c>
      <c r="J235" s="2" t="s">
        <v>228</v>
      </c>
    </row>
    <row r="236" customFormat="false" ht="14.25" hidden="false" customHeight="false" outlineLevel="0" collapsed="false">
      <c r="A236" s="7" t="s">
        <v>510</v>
      </c>
      <c r="B236" s="2" t="s">
        <v>471</v>
      </c>
      <c r="C236" s="2" t="s">
        <v>509</v>
      </c>
      <c r="D236" s="2" t="n">
        <f aca="false">SUM(E236,G236,I236,K236,M236,O236)</f>
        <v>1</v>
      </c>
      <c r="E236" s="1" t="n">
        <v>1</v>
      </c>
      <c r="F236" s="1" t="s">
        <v>250</v>
      </c>
    </row>
    <row r="237" customFormat="false" ht="14.25" hidden="false" customHeight="false" outlineLevel="0" collapsed="false">
      <c r="A237" s="7" t="s">
        <v>511</v>
      </c>
      <c r="B237" s="2" t="s">
        <v>471</v>
      </c>
      <c r="C237" s="2" t="s">
        <v>509</v>
      </c>
      <c r="D237" s="2" t="n">
        <f aca="false">SUM(E237,G237,I237,K237,M237,O237)</f>
        <v>0</v>
      </c>
    </row>
    <row r="238" customFormat="false" ht="14.25" hidden="false" customHeight="false" outlineLevel="0" collapsed="false">
      <c r="A238" s="7" t="s">
        <v>512</v>
      </c>
      <c r="B238" s="2" t="s">
        <v>471</v>
      </c>
      <c r="C238" s="2" t="s">
        <v>509</v>
      </c>
      <c r="D238" s="2" t="n">
        <f aca="false">SUM(E238,G238,I238,K238,M238,O238)</f>
        <v>1</v>
      </c>
      <c r="K238" s="1" t="n">
        <v>1</v>
      </c>
      <c r="L238" s="2" t="s">
        <v>293</v>
      </c>
    </row>
    <row r="239" customFormat="false" ht="14.25" hidden="false" customHeight="false" outlineLevel="0" collapsed="false">
      <c r="A239" s="7" t="s">
        <v>513</v>
      </c>
      <c r="B239" s="2" t="s">
        <v>471</v>
      </c>
      <c r="C239" s="2" t="s">
        <v>509</v>
      </c>
      <c r="D239" s="2" t="n">
        <f aca="false">SUM(E239,G239,I239,K239,M239,O239)</f>
        <v>0</v>
      </c>
    </row>
    <row r="240" customFormat="false" ht="14.25" hidden="false" customHeight="false" outlineLevel="0" collapsed="false">
      <c r="A240" s="7" t="s">
        <v>514</v>
      </c>
      <c r="B240" s="2" t="s">
        <v>471</v>
      </c>
      <c r="C240" s="2" t="s">
        <v>509</v>
      </c>
      <c r="D240" s="2" t="n">
        <f aca="false">SUM(E240,G240,I240,K240,M240,O240)</f>
        <v>3</v>
      </c>
      <c r="G240" s="1" t="n">
        <v>1</v>
      </c>
      <c r="H240" s="2" t="s">
        <v>231</v>
      </c>
      <c r="M240" s="1" t="n">
        <v>1</v>
      </c>
      <c r="O240" s="1" t="n">
        <v>1</v>
      </c>
      <c r="P240" s="2" t="s">
        <v>515</v>
      </c>
    </row>
    <row r="241" customFormat="false" ht="14.25" hidden="false" customHeight="false" outlineLevel="0" collapsed="false">
      <c r="A241" s="7" t="s">
        <v>516</v>
      </c>
      <c r="B241" s="2" t="s">
        <v>471</v>
      </c>
      <c r="C241" s="2" t="s">
        <v>509</v>
      </c>
      <c r="D241" s="2" t="n">
        <f aca="false">SUM(E241,G241,I241,K241,M241,O241)</f>
        <v>3</v>
      </c>
      <c r="E241" s="1" t="n">
        <v>1</v>
      </c>
      <c r="F241" s="2" t="s">
        <v>254</v>
      </c>
      <c r="G241" s="1" t="n">
        <v>1</v>
      </c>
      <c r="H241" s="2" t="s">
        <v>257</v>
      </c>
      <c r="K241" s="1" t="n">
        <v>1</v>
      </c>
      <c r="L241" s="2" t="s">
        <v>517</v>
      </c>
    </row>
    <row r="242" customFormat="false" ht="14.25" hidden="false" customHeight="false" outlineLevel="0" collapsed="false">
      <c r="A242" s="7" t="s">
        <v>518</v>
      </c>
      <c r="B242" s="2" t="s">
        <v>471</v>
      </c>
      <c r="C242" s="2" t="s">
        <v>494</v>
      </c>
      <c r="D242" s="2" t="n">
        <f aca="false">SUM(E242,G242,I242,K242,M242,O242)</f>
        <v>1</v>
      </c>
      <c r="E242" s="1" t="n">
        <v>1</v>
      </c>
      <c r="F242" s="2" t="s">
        <v>519</v>
      </c>
    </row>
    <row r="243" customFormat="false" ht="14.25" hidden="false" customHeight="false" outlineLevel="0" collapsed="false">
      <c r="A243" s="7" t="s">
        <v>520</v>
      </c>
      <c r="B243" s="2" t="s">
        <v>471</v>
      </c>
      <c r="C243" s="2" t="s">
        <v>476</v>
      </c>
      <c r="D243" s="2" t="n">
        <f aca="false">SUM(E243,G243,I243,K243,M243,O243)</f>
        <v>0</v>
      </c>
      <c r="E243" s="1" t="n">
        <v>0</v>
      </c>
      <c r="F243" s="2" t="s">
        <v>239</v>
      </c>
      <c r="G243" s="1" t="n">
        <v>0</v>
      </c>
      <c r="H243" s="2" t="s">
        <v>239</v>
      </c>
      <c r="I243" s="1" t="n">
        <v>0</v>
      </c>
      <c r="J243" s="2" t="s">
        <v>239</v>
      </c>
      <c r="K243" s="1" t="n">
        <v>0</v>
      </c>
      <c r="L243" s="2" t="s">
        <v>239</v>
      </c>
      <c r="M243" s="1" t="n">
        <v>0</v>
      </c>
      <c r="N243" s="2" t="s">
        <v>239</v>
      </c>
      <c r="O243" s="1" t="n">
        <v>0</v>
      </c>
      <c r="P243" s="2" t="s">
        <v>239</v>
      </c>
    </row>
    <row r="244" customFormat="false" ht="14.25" hidden="false" customHeight="false" outlineLevel="0" collapsed="false">
      <c r="A244" s="7" t="s">
        <v>459</v>
      </c>
      <c r="B244" s="2" t="s">
        <v>471</v>
      </c>
      <c r="C244" s="2" t="s">
        <v>476</v>
      </c>
      <c r="D244" s="2" t="n">
        <f aca="false">SUM(E244,G244,I244,K244,M244,O244)</f>
        <v>0</v>
      </c>
    </row>
    <row r="245" customFormat="false" ht="14.25" hidden="false" customHeight="false" outlineLevel="0" collapsed="false">
      <c r="A245" s="7" t="s">
        <v>521</v>
      </c>
      <c r="B245" s="2" t="s">
        <v>471</v>
      </c>
      <c r="C245" s="2" t="s">
        <v>474</v>
      </c>
      <c r="D245" s="2" t="n">
        <f aca="false">SUM(E245,G245,I245,K245,M245,O245)</f>
        <v>1</v>
      </c>
      <c r="K245" s="1" t="n">
        <v>1</v>
      </c>
      <c r="L245" s="2" t="s">
        <v>498</v>
      </c>
    </row>
    <row r="246" customFormat="false" ht="14.25" hidden="false" customHeight="false" outlineLevel="0" collapsed="false">
      <c r="A246" s="7" t="s">
        <v>522</v>
      </c>
      <c r="B246" s="2" t="s">
        <v>471</v>
      </c>
      <c r="C246" s="2" t="s">
        <v>474</v>
      </c>
      <c r="D246" s="2" t="n">
        <f aca="false">SUM(E246,G246,I246,K246,M246,O246)</f>
        <v>1</v>
      </c>
      <c r="K246" s="1" t="n">
        <v>1</v>
      </c>
      <c r="L246" s="2" t="s">
        <v>279</v>
      </c>
    </row>
    <row r="247" customFormat="false" ht="14.25" hidden="false" customHeight="false" outlineLevel="0" collapsed="false">
      <c r="A247" s="7" t="s">
        <v>523</v>
      </c>
      <c r="B247" s="2" t="s">
        <v>471</v>
      </c>
      <c r="C247" s="2" t="s">
        <v>476</v>
      </c>
      <c r="D247" s="2" t="n">
        <f aca="false">SUM(E247,G247,I247,K247,M247,O247)</f>
        <v>0</v>
      </c>
    </row>
    <row r="248" customFormat="false" ht="14.25" hidden="false" customHeight="false" outlineLevel="0" collapsed="false">
      <c r="A248" s="7" t="s">
        <v>524</v>
      </c>
      <c r="B248" s="2" t="s">
        <v>471</v>
      </c>
      <c r="C248" s="2" t="s">
        <v>476</v>
      </c>
      <c r="D248" s="2" t="n">
        <f aca="false">SUM(E248,G248,I248,K248,M248,O248)</f>
        <v>1</v>
      </c>
      <c r="K248" s="1" t="n">
        <v>1</v>
      </c>
      <c r="L248" s="2" t="s">
        <v>293</v>
      </c>
    </row>
    <row r="249" customFormat="false" ht="14.25" hidden="false" customHeight="false" outlineLevel="0" collapsed="false">
      <c r="A249" s="7" t="s">
        <v>525</v>
      </c>
      <c r="B249" s="2" t="s">
        <v>471</v>
      </c>
      <c r="C249" s="2" t="s">
        <v>474</v>
      </c>
      <c r="D249" s="2" t="n">
        <f aca="false">SUM(E249,G249,I249,K249,M249,O249)</f>
        <v>1</v>
      </c>
      <c r="K249" s="1" t="n">
        <v>1</v>
      </c>
      <c r="L249" s="2" t="s">
        <v>498</v>
      </c>
    </row>
    <row r="250" customFormat="false" ht="14.25" hidden="false" customHeight="false" outlineLevel="0" collapsed="false">
      <c r="A250" s="7" t="s">
        <v>526</v>
      </c>
      <c r="B250" s="2" t="s">
        <v>471</v>
      </c>
      <c r="C250" s="2" t="s">
        <v>494</v>
      </c>
      <c r="D250" s="2" t="n">
        <f aca="false">SUM(E250,G250,I250,K250,M250,O250)</f>
        <v>1</v>
      </c>
      <c r="E250" s="1" t="n">
        <v>1</v>
      </c>
      <c r="F250" s="2" t="s">
        <v>527</v>
      </c>
    </row>
    <row r="251" customFormat="false" ht="14.25" hidden="false" customHeight="false" outlineLevel="0" collapsed="false">
      <c r="A251" s="7" t="s">
        <v>528</v>
      </c>
      <c r="B251" s="2" t="s">
        <v>471</v>
      </c>
      <c r="C251" s="2" t="s">
        <v>474</v>
      </c>
      <c r="D251" s="2" t="n">
        <f aca="false">SUM(E251,G251,I251,K251,M251,O251)</f>
        <v>2</v>
      </c>
      <c r="E251" s="1" t="n">
        <v>1</v>
      </c>
      <c r="F251" s="1" t="s">
        <v>225</v>
      </c>
      <c r="M251" s="1" t="n">
        <v>1</v>
      </c>
      <c r="N251" s="2" t="s">
        <v>225</v>
      </c>
    </row>
    <row r="252" customFormat="false" ht="14.25" hidden="false" customHeight="false" outlineLevel="0" collapsed="false">
      <c r="A252" s="7" t="s">
        <v>529</v>
      </c>
      <c r="B252" s="2" t="s">
        <v>471</v>
      </c>
      <c r="C252" s="2" t="s">
        <v>476</v>
      </c>
      <c r="D252" s="2" t="n">
        <f aca="false">SUM(E252,G252,I252,K252,M252,O252)</f>
        <v>0</v>
      </c>
    </row>
    <row r="253" customFormat="false" ht="14.25" hidden="false" customHeight="false" outlineLevel="0" collapsed="false">
      <c r="A253" s="7" t="s">
        <v>530</v>
      </c>
      <c r="B253" s="2" t="s">
        <v>471</v>
      </c>
      <c r="C253" s="2" t="s">
        <v>476</v>
      </c>
      <c r="D253" s="2" t="n">
        <f aca="false">SUM(E253,G253,I253,K253,M253,O253)</f>
        <v>0</v>
      </c>
    </row>
    <row r="254" customFormat="false" ht="14.25" hidden="false" customHeight="false" outlineLevel="0" collapsed="false">
      <c r="A254" s="7" t="s">
        <v>531</v>
      </c>
      <c r="B254" s="2" t="s">
        <v>471</v>
      </c>
      <c r="C254" s="2" t="s">
        <v>476</v>
      </c>
      <c r="D254" s="2" t="n">
        <f aca="false">SUM(E254,G254,I254,K254,M254,O254)</f>
        <v>0</v>
      </c>
    </row>
    <row r="255" customFormat="false" ht="14.25" hidden="false" customHeight="false" outlineLevel="0" collapsed="false">
      <c r="A255" s="7" t="s">
        <v>532</v>
      </c>
      <c r="B255" s="2" t="s">
        <v>471</v>
      </c>
      <c r="C255" s="2" t="s">
        <v>474</v>
      </c>
      <c r="D255" s="2" t="n">
        <f aca="false">SUM(E255,G255,I255,K255,M255,O255)</f>
        <v>2</v>
      </c>
      <c r="E255" s="1" t="n">
        <v>1</v>
      </c>
      <c r="F255" s="1" t="s">
        <v>225</v>
      </c>
      <c r="M255" s="1" t="n">
        <v>1</v>
      </c>
      <c r="N255" s="2" t="s">
        <v>225</v>
      </c>
    </row>
    <row r="256" customFormat="false" ht="14.25" hidden="false" customHeight="false" outlineLevel="0" collapsed="false">
      <c r="A256" s="7" t="s">
        <v>533</v>
      </c>
      <c r="B256" s="2" t="s">
        <v>471</v>
      </c>
      <c r="C256" s="2" t="s">
        <v>491</v>
      </c>
      <c r="D256" s="2" t="n">
        <f aca="false">SUM(E256,G256,I256,K256,M256,O256)</f>
        <v>0</v>
      </c>
    </row>
    <row r="257" customFormat="false" ht="14.25" hidden="false" customHeight="false" outlineLevel="0" collapsed="false">
      <c r="A257" s="7" t="s">
        <v>534</v>
      </c>
      <c r="B257" s="2" t="s">
        <v>471</v>
      </c>
      <c r="C257" s="2" t="s">
        <v>474</v>
      </c>
      <c r="D257" s="2" t="n">
        <f aca="false">SUM(E257,G257,I257,K257,M257,O257)</f>
        <v>1</v>
      </c>
      <c r="M257" s="1" t="n">
        <v>1</v>
      </c>
      <c r="N257" s="2" t="s">
        <v>231</v>
      </c>
    </row>
    <row r="258" customFormat="false" ht="14.25" hidden="false" customHeight="false" outlineLevel="0" collapsed="false">
      <c r="A258" s="7" t="s">
        <v>535</v>
      </c>
      <c r="B258" s="2" t="s">
        <v>471</v>
      </c>
      <c r="C258" s="2" t="s">
        <v>503</v>
      </c>
      <c r="D258" s="2" t="n">
        <f aca="false">SUM(E258,G258,I258,K258,M258,O258)</f>
        <v>1</v>
      </c>
      <c r="O258" s="1" t="n">
        <v>1</v>
      </c>
      <c r="P258" s="2" t="s">
        <v>466</v>
      </c>
    </row>
    <row r="259" customFormat="false" ht="14.25" hidden="false" customHeight="false" outlineLevel="0" collapsed="false">
      <c r="A259" s="7" t="s">
        <v>536</v>
      </c>
      <c r="B259" s="2" t="s">
        <v>471</v>
      </c>
      <c r="C259" s="2" t="s">
        <v>476</v>
      </c>
      <c r="D259" s="2" t="n">
        <f aca="false">SUM(E259,G259,I259,K259,M259,O259)</f>
        <v>1</v>
      </c>
      <c r="K259" s="1" t="n">
        <v>1</v>
      </c>
      <c r="L259" s="2" t="s">
        <v>293</v>
      </c>
    </row>
    <row r="260" customFormat="false" ht="14.25" hidden="false" customHeight="false" outlineLevel="0" collapsed="false">
      <c r="A260" s="7" t="s">
        <v>537</v>
      </c>
      <c r="B260" s="2" t="s">
        <v>471</v>
      </c>
      <c r="C260" s="2" t="s">
        <v>476</v>
      </c>
      <c r="D260" s="2" t="n">
        <f aca="false">SUM(E260,G260,I260,K260,M260,O260)</f>
        <v>1</v>
      </c>
      <c r="K260" s="1" t="n">
        <v>1</v>
      </c>
      <c r="L260" s="2" t="s">
        <v>293</v>
      </c>
    </row>
    <row r="261" customFormat="false" ht="14.25" hidden="false" customHeight="false" outlineLevel="0" collapsed="false">
      <c r="A261" s="7" t="s">
        <v>538</v>
      </c>
      <c r="B261" s="2" t="s">
        <v>471</v>
      </c>
      <c r="C261" s="2" t="s">
        <v>474</v>
      </c>
      <c r="D261" s="2" t="n">
        <f aca="false">SUM(E261,G261,I261,K261,M261,O261)</f>
        <v>1</v>
      </c>
      <c r="M261" s="1" t="n">
        <v>1</v>
      </c>
      <c r="N261" s="2" t="s">
        <v>316</v>
      </c>
    </row>
    <row r="262" customFormat="false" ht="14.25" hidden="false" customHeight="false" outlineLevel="0" collapsed="false">
      <c r="A262" s="7" t="s">
        <v>539</v>
      </c>
      <c r="B262" s="2" t="s">
        <v>471</v>
      </c>
      <c r="C262" s="2" t="s">
        <v>476</v>
      </c>
      <c r="D262" s="2" t="n">
        <f aca="false">SUM(E262,G262,I262,K262,M262,O262)</f>
        <v>0</v>
      </c>
    </row>
    <row r="263" customFormat="false" ht="14.25" hidden="false" customHeight="false" outlineLevel="0" collapsed="false">
      <c r="A263" s="7" t="s">
        <v>540</v>
      </c>
      <c r="B263" s="2" t="s">
        <v>471</v>
      </c>
      <c r="C263" s="2" t="s">
        <v>476</v>
      </c>
      <c r="D263" s="2" t="n">
        <f aca="false">SUM(E263,G263,I263,K263,M263,O263)</f>
        <v>0</v>
      </c>
    </row>
    <row r="264" customFormat="false" ht="14.25" hidden="false" customHeight="false" outlineLevel="0" collapsed="false">
      <c r="A264" s="7" t="s">
        <v>541</v>
      </c>
      <c r="B264" s="2" t="s">
        <v>471</v>
      </c>
      <c r="C264" s="2" t="s">
        <v>474</v>
      </c>
      <c r="D264" s="2" t="n">
        <f aca="false">SUM(E264,G264,I264,K264,M264,O264)</f>
        <v>1</v>
      </c>
      <c r="K264" s="1" t="n">
        <v>1</v>
      </c>
      <c r="L264" s="2" t="s">
        <v>218</v>
      </c>
    </row>
    <row r="265" customFormat="false" ht="14.25" hidden="false" customHeight="false" outlineLevel="0" collapsed="false">
      <c r="A265" s="7" t="s">
        <v>542</v>
      </c>
      <c r="B265" s="2" t="s">
        <v>471</v>
      </c>
      <c r="C265" s="2" t="s">
        <v>494</v>
      </c>
      <c r="D265" s="2" t="n">
        <f aca="false">SUM(E265,G265,I265,K265,M265,O265)</f>
        <v>1</v>
      </c>
      <c r="G265" s="1" t="n">
        <v>1</v>
      </c>
      <c r="H265" s="2" t="s">
        <v>424</v>
      </c>
    </row>
    <row r="266" customFormat="false" ht="14.25" hidden="false" customHeight="false" outlineLevel="0" collapsed="false">
      <c r="A266" s="7" t="s">
        <v>543</v>
      </c>
      <c r="B266" s="2" t="s">
        <v>471</v>
      </c>
      <c r="C266" s="2" t="s">
        <v>494</v>
      </c>
      <c r="D266" s="2" t="n">
        <f aca="false">SUM(E266,G266,I266,K266,M266,O266)</f>
        <v>1</v>
      </c>
      <c r="K266" s="1" t="n">
        <v>1</v>
      </c>
      <c r="L266" s="2" t="s">
        <v>242</v>
      </c>
    </row>
    <row r="267" customFormat="false" ht="14.25" hidden="false" customHeight="false" outlineLevel="0" collapsed="false">
      <c r="A267" s="7" t="s">
        <v>544</v>
      </c>
      <c r="B267" s="2" t="s">
        <v>471</v>
      </c>
      <c r="C267" s="2" t="s">
        <v>474</v>
      </c>
      <c r="D267" s="2" t="n">
        <f aca="false">SUM(E267,G267,I267,K267,M267,O267)</f>
        <v>1</v>
      </c>
      <c r="K267" s="1" t="n">
        <v>1</v>
      </c>
      <c r="L267" s="2" t="s">
        <v>214</v>
      </c>
    </row>
    <row r="268" customFormat="false" ht="14.25" hidden="false" customHeight="false" outlineLevel="0" collapsed="false">
      <c r="A268" s="7" t="s">
        <v>545</v>
      </c>
      <c r="B268" s="2" t="s">
        <v>471</v>
      </c>
      <c r="C268" s="2" t="s">
        <v>494</v>
      </c>
      <c r="D268" s="2" t="n">
        <f aca="false">SUM(E268,G268,I268,K268,M268,O268)</f>
        <v>0</v>
      </c>
      <c r="E268" s="1" t="n">
        <v>0</v>
      </c>
      <c r="F268" s="2" t="s">
        <v>239</v>
      </c>
      <c r="G268" s="1" t="n">
        <v>0</v>
      </c>
      <c r="H268" s="2" t="s">
        <v>239</v>
      </c>
      <c r="I268" s="1" t="n">
        <v>0</v>
      </c>
      <c r="J268" s="2" t="s">
        <v>239</v>
      </c>
      <c r="K268" s="1" t="n">
        <v>0</v>
      </c>
      <c r="L268" s="2" t="s">
        <v>239</v>
      </c>
      <c r="M268" s="1" t="n">
        <v>0</v>
      </c>
      <c r="N268" s="2" t="s">
        <v>239</v>
      </c>
      <c r="O268" s="1" t="n">
        <v>0</v>
      </c>
      <c r="P268" s="2" t="s">
        <v>239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2024-07-22T20:46:11Z</dcterms:created>
  <dc:creator>Francisco Lopez Marquez (Student)</dc:creator>
  <dc:description/>
  <dc:language>en-GB</dc:language>
  <cp:lastModifiedBy/>
  <dcterms:modified xsi:type="dcterms:W3CDTF">2025-06-21T18:06:19Z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